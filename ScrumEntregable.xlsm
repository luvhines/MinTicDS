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_rels/sheet5.xml.rels" ContentType="application/vnd.openxmlformats-package.relationships+xml"/>
  <Override PartName="/xl/worksheets/_rels/sheet4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4"/>
  </bookViews>
  <sheets>
    <sheet name="Requerimientos (RF)" sheetId="1" state="visible" r:id="rId2"/>
    <sheet name="Requerimientos (RNF)" sheetId="2" state="visible" r:id="rId3"/>
    <sheet name="Backlog" sheetId="3" state="visible" r:id="rId4"/>
    <sheet name="BurnDownChart" sheetId="4" state="visible" r:id="rId5"/>
    <sheet name="Cronograma" sheetId="5" state="visible" r:id="rId6"/>
  </sheets>
  <calcPr iterateCount="100" refMode="A1" iterate="false" iterateDelta="0.001"/>
  <extLst>
    <ext xmlns:loext="http://schemas.libreoffice.org/" uri="{7626C862-2A13-11E5-B345-FEFF819CDC9F}">
      <loext:extCalcPr stringRefSyntax="CalcA1ExcelA1"/>
    </ext>
  </extLst>
</workbook>
</file>

<file path=xl/sharedStrings.xml><?xml version="1.0" encoding="utf-8"?>
<sst xmlns="http://schemas.openxmlformats.org/spreadsheetml/2006/main" count="169" uniqueCount="115">
  <si>
    <t xml:space="preserve">Ítem</t>
  </si>
  <si>
    <t xml:space="preserve">REQUERIMIENTOS FUNCIONALES</t>
  </si>
  <si>
    <t xml:space="preserve">MODULO</t>
  </si>
  <si>
    <t xml:space="preserve">ESTADO</t>
  </si>
  <si>
    <t xml:space="preserve">*El modulo de contratación debe permitir la creación, eliminación, edición y consulta,  
de los datos de un empleado los cuales son: 
- Registro de cédula
- Registro de nombre
- Registro de apellidos
- Registro de genero
- Registro de EPS
- Registro de ARL
- Registro de salario
- Registro de tipo de contrato
- Registro de correo electrónico
- Registro de teléfono
- Registro de dirección 
- Registro de sueldo
</t>
  </si>
  <si>
    <t xml:space="preserve">Contratación </t>
  </si>
  <si>
    <t xml:space="preserve">*se requiere dos secciones, una general para Consultas que contiene una lista de los 
empleados que muestre apellido, nombre, identificación email y sueldo otra pestaña para 
las demás operaciones
</t>
  </si>
  <si>
    <t xml:space="preserve">*Cada registro del empleado debe ser guardado en una base de datos
</t>
  </si>
  <si>
    <t xml:space="preserve">*El modulo de clientes debe permitir la creación, eliminación, edición y consulta,  
de los datos de un cliente los cuales son: 
- Registro de cédula
- Registro de nombre
- Registro de correo electrónico
</t>
  </si>
  <si>
    <t xml:space="preserve">Clientes</t>
  </si>
  <si>
    <t xml:space="preserve">*se requiere dos secciones, una general para Consultas que contiene una lista de los 
clientes que muestre apellido, nombre, identificación y otra pestaña para las 
demás operaciones
</t>
  </si>
  <si>
    <t xml:space="preserve">*Cada registro del cliente debe ser guardado en una base de datos
</t>
  </si>
  <si>
    <t xml:space="preserve">*El modulo de proveedores debe permitir la creación, eliminación, edición y consulta 
dividido en dos secciones , General y Actualización, los datos de un proveedor  son: 
- Registro de NIT
- Registro de nombre
- Registro de correo electrónico
- Registro de teléfono
- Registro de dirección 
- Registro de nombre del producto 
- Registro de Código del producto
- Registro de valor unitario del producto
- Registro de cantidad de producto 
- Registro de numero de factura
- Registro de valor de factura 
- Registro de fecha de compra
- Registro de fecha de vencimiento de factura
</t>
  </si>
  <si>
    <t xml:space="preserve">Proveedores</t>
  </si>
  <si>
    <t xml:space="preserve">*En la sección General se deben listar los proveedores con los datos nombre de proveedor, 
NIT, nombre del producto, código del producto, Costo, código del producto
 </t>
  </si>
  <si>
    <t xml:space="preserve">*En la sección General se debe permitir el registro de compra que pedirá 
Nit, Código de producto, Cantidad, fecha de factura, valor de factura, numero de factura
</t>
  </si>
  <si>
    <t xml:space="preserve">*Cuando se registre una compra automáticamente los productos pasarán a estar 
disponibles en el inventario
</t>
  </si>
  <si>
    <t xml:space="preserve">*El programa debe calcular la cantidad de días para el pago de la factura dada una fecha 
inicial y una fecha final, se entiende que el pago es a crédito si existe diferencia entre fechas
o al contado si las fechas son iguales.
</t>
  </si>
  <si>
    <t xml:space="preserve">
</t>
  </si>
  <si>
    <t xml:space="preserve">*El modulo de PQRS debe permitir la creación y consulta, de PQRS de un proveedor 
los cuales son: 
- Tipo de reclamo (PQRS)
- Fecha de registro
- Cédula del Usuario
</t>
  </si>
  <si>
    <t xml:space="preserve">PQRS</t>
  </si>
  <si>
    <t xml:space="preserve">*El modulo únicamente será gestionado por el encargado del software quien contará con 
las PQRS que serán diligenciadas por los clientes en buzón 
</t>
  </si>
  <si>
    <t xml:space="preserve">*Al diligenciar la cédula el programa debe cruzar la información con la registrada en la 
base de datos de los clientes con el fin de dar trazabilidad a las quejas y cuantificar los 
registros para tener en cuenta oportunidades de mejora para la miPyme 
</t>
  </si>
  <si>
    <t xml:space="preserve">*EL modulo de inventario debe mostrar los siguientes campos:
-Código del producto 
-Nombre del producto 
-Valor unitario del producto
-Cantidad del producto en stock
</t>
  </si>
  <si>
    <t xml:space="preserve">Inventario</t>
  </si>
  <si>
    <t xml:space="preserve">*El modulo deberá resaltar en colores los distintos productos, Rojo para 2 unidades o menos
y amarillo para menos de 10 y no resaltar cantidades mayores
 </t>
  </si>
  <si>
    <t xml:space="preserve">*El modulo de ventas debe mostrar un gráfico tiempo-ventas para las ventas del mes 
así como otro para las ventas del año.
</t>
  </si>
  <si>
    <t xml:space="preserve">Ventas</t>
  </si>
  <si>
    <t xml:space="preserve">* El modulo de ventas debe mostrar un gráfico que muestre la relación costo beneficio del 
los últimos 3 meses
</t>
  </si>
  <si>
    <t xml:space="preserve">*El modulo de ventas debe tener una sección de registro de ventas , con los datos código 
de producto, cantidad, descuento, impuesto, total, fecha venta, cédula vendedor, cédula cliente.
</t>
  </si>
  <si>
    <t xml:space="preserve">*Cuando se registre una venta el programa deberá descontar la cantidad del producto en el
 inventario 
</t>
  </si>
  <si>
    <t xml:space="preserve">*Se requiere el mínimo posible de datos multivaluados.
</t>
  </si>
  <si>
    <t xml:space="preserve">*Los datos deben poseer persistencia. no se requieren campos multivaluados
</t>
  </si>
  <si>
    <t xml:space="preserve">*La interfaz debe favorecer la usabilidad, debe ser amigable intuitiva y minimalista, 
dando especial atención a esto.
</t>
  </si>
  <si>
    <t xml:space="preserve">*Para la base de datos se usará un modelo relacional
</t>
  </si>
  <si>
    <t xml:space="preserve">TAREAS</t>
  </si>
  <si>
    <t xml:space="preserve">DESCRIPCIÓN</t>
  </si>
  <si>
    <t xml:space="preserve">PUNTOS DE
HISTORIA</t>
  </si>
  <si>
    <t xml:space="preserve">PRIORIDAD</t>
  </si>
  <si>
    <t xml:space="preserve">SPRINT</t>
  </si>
  <si>
    <t xml:space="preserve">ÉPICA 1</t>
  </si>
  <si>
    <t xml:space="preserve">Análisis y gestión de proyecto</t>
  </si>
  <si>
    <t xml:space="preserve">Sprint 1</t>
  </si>
  <si>
    <t xml:space="preserve">Tarea 1,1</t>
  </si>
  <si>
    <t xml:space="preserve">Planteamiento del problema</t>
  </si>
  <si>
    <t xml:space="preserve">Tarea 1,2</t>
  </si>
  <si>
    <t xml:space="preserve">Definir requisitos de usuario</t>
  </si>
  <si>
    <t xml:space="preserve">Tarea 1,3</t>
  </si>
  <si>
    <t xml:space="preserve">Definir requisitos funcionales</t>
  </si>
  <si>
    <t xml:space="preserve">Tarea 1,4</t>
  </si>
  <si>
    <t xml:space="preserve">Crear diagrama Grantt para la gestión de proyecto</t>
  </si>
  <si>
    <t xml:space="preserve">Tarea 1,5</t>
  </si>
  <si>
    <t xml:space="preserve">Definir product backlog </t>
  </si>
  <si>
    <t xml:space="preserve">ÉPICA 2</t>
  </si>
  <si>
    <t xml:space="preserve">Análisis y modelo conceptual </t>
  </si>
  <si>
    <t xml:space="preserve">sprint2</t>
  </si>
  <si>
    <t xml:space="preserve">Tarea 2,1</t>
  </si>
  <si>
    <t xml:space="preserve">Definir requerimientos funcionales</t>
  </si>
  <si>
    <t xml:space="preserve">Tarea 2,2</t>
  </si>
  <si>
    <t xml:space="preserve">Definir requisitos NO funcionales</t>
  </si>
  <si>
    <t xml:space="preserve">Tarea 2,3</t>
  </si>
  <si>
    <t xml:space="preserve">Crear modelo conceptual</t>
  </si>
  <si>
    <t xml:space="preserve">Tarea 2,4</t>
  </si>
  <si>
    <t xml:space="preserve">Crear modelo relacional</t>
  </si>
  <si>
    <t xml:space="preserve">SEMANA 1</t>
  </si>
  <si>
    <t xml:space="preserve">SPRINT 1</t>
  </si>
  <si>
    <t xml:space="preserve">Fecha Inicio</t>
  </si>
  <si>
    <t xml:space="preserve">Fecha Final</t>
  </si>
  <si>
    <t xml:space="preserve">Días Totales</t>
  </si>
  <si>
    <t xml:space="preserve">Horas Laborales Totales</t>
  </si>
  <si>
    <t xml:space="preserve">% De Trabajo Disponible</t>
  </si>
  <si>
    <t xml:space="preserve">Integrantes Del Equipo</t>
  </si>
  <si>
    <t xml:space="preserve">Horas De Desarrollo semanal (Equipo)</t>
  </si>
  <si>
    <t xml:space="preserve">Horas De Desarrollo Diario (Equipo)</t>
  </si>
  <si>
    <t xml:space="preserve">Horas De Desarrollo Diario (individual)</t>
  </si>
  <si>
    <t xml:space="preserve">PUNTOS DE HISTORIA</t>
  </si>
  <si>
    <t xml:space="preserve">FECHA</t>
  </si>
  <si>
    <t xml:space="preserve">IDEAL</t>
  </si>
  <si>
    <t xml:space="preserve">REAL</t>
  </si>
  <si>
    <t xml:space="preserve">SEMANA 2</t>
  </si>
  <si>
    <t xml:space="preserve"> </t>
  </si>
  <si>
    <t xml:space="preserve">SPRINT2</t>
  </si>
  <si>
    <t xml:space="preserve">SPRINT 2</t>
  </si>
  <si>
    <t xml:space="preserve">  </t>
  </si>
  <si>
    <t xml:space="preserve">INICIO DEL PROYECTO</t>
  </si>
  <si>
    <t xml:space="preserve">TAREA</t>
  </si>
  <si>
    <t xml:space="preserve">RESPONSABLE</t>
  </si>
  <si>
    <t xml:space="preserve">PROGRESO</t>
  </si>
  <si>
    <t xml:space="preserve">INICIO</t>
  </si>
  <si>
    <t xml:space="preserve">FIN</t>
  </si>
  <si>
    <t xml:space="preserve">PH</t>
  </si>
  <si>
    <t xml:space="preserve">HR</t>
  </si>
  <si>
    <t xml:space="preserve">PROYECTO</t>
  </si>
  <si>
    <t xml:space="preserve">Sofía</t>
  </si>
  <si>
    <t xml:space="preserve">Juan</t>
  </si>
  <si>
    <t xml:space="preserve">Julia, Luis</t>
  </si>
  <si>
    <t xml:space="preserve">Adriana</t>
  </si>
  <si>
    <t xml:space="preserve">Luis </t>
  </si>
  <si>
    <t xml:space="preserve">Luis,Adriana</t>
  </si>
  <si>
    <t xml:space="preserve">Luis,Sofia</t>
  </si>
  <si>
    <t xml:space="preserve">Adriana,Juan </t>
  </si>
  <si>
    <t xml:space="preserve">Sofia,Julia</t>
  </si>
  <si>
    <t xml:space="preserve">ÉPICA 3</t>
  </si>
  <si>
    <t xml:space="preserve">Tarea 3,1</t>
  </si>
  <si>
    <t xml:space="preserve">Persona </t>
  </si>
  <si>
    <t xml:space="preserve">Tarea 3,2</t>
  </si>
  <si>
    <t xml:space="preserve">Tarea 3,3</t>
  </si>
  <si>
    <t xml:space="preserve">Tarea 3,4</t>
  </si>
  <si>
    <t xml:space="preserve">Tarea 3,5</t>
  </si>
  <si>
    <t xml:space="preserve">ÉPICA 4</t>
  </si>
  <si>
    <t xml:space="preserve">Tarea 4,1</t>
  </si>
  <si>
    <t xml:space="preserve">Tarea 4,2</t>
  </si>
  <si>
    <t xml:space="preserve">Tarea 4,3</t>
  </si>
  <si>
    <t xml:space="preserve">Tarea 4,4</t>
  </si>
  <si>
    <t xml:space="preserve">Tarea 4,5</t>
  </si>
</sst>
</file>

<file path=xl/styles.xml><?xml version="1.0" encoding="utf-8"?>
<styleSheet xmlns="http://schemas.openxmlformats.org/spreadsheetml/2006/main">
  <numFmts count="12">
    <numFmt numFmtId="164" formatCode="General"/>
    <numFmt numFmtId="165" formatCode="dd/mm/yy"/>
    <numFmt numFmtId="166" formatCode="General"/>
    <numFmt numFmtId="167" formatCode="0.00%"/>
    <numFmt numFmtId="168" formatCode="0.00"/>
    <numFmt numFmtId="169" formatCode="dddd, d&quot; de &quot;mmmm&quot; de &quot;yyyy"/>
    <numFmt numFmtId="170" formatCode="0"/>
    <numFmt numFmtId="171" formatCode="dd/mm/yyyy"/>
    <numFmt numFmtId="172" formatCode="ddd\,dd/mm/yyyy"/>
    <numFmt numFmtId="173" formatCode="ddd&quot;, &quot;dd/mm/yyyy"/>
    <numFmt numFmtId="174" formatCode="dd"/>
    <numFmt numFmtId="175" formatCode="0%"/>
  </numFmts>
  <fonts count="12">
    <font>
      <sz val="10"/>
      <name val="Arial"/>
      <family val="2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0"/>
      <name val="Arial"/>
      <family val="2"/>
    </font>
    <font>
      <u val="single"/>
      <sz val="10"/>
      <name val="Arial"/>
      <family val="2"/>
    </font>
    <font>
      <b val="true"/>
      <sz val="16"/>
      <color rgb="FFFFFFFF"/>
      <name val="Arial"/>
      <family val="2"/>
    </font>
    <font>
      <b val="true"/>
      <sz val="10"/>
      <color rgb="FFFFFFFF"/>
      <name val="Arial"/>
      <family val="2"/>
    </font>
    <font>
      <sz val="9"/>
      <color rgb="FF000000"/>
      <name val="Arial"/>
      <family val="2"/>
    </font>
    <font>
      <b val="true"/>
      <sz val="9"/>
      <color rgb="FFFFFFFF"/>
      <name val="Arial"/>
      <family val="2"/>
    </font>
    <font>
      <b val="true"/>
      <i val="true"/>
      <sz val="10"/>
      <name val="Arial"/>
      <family val="2"/>
    </font>
    <font>
      <i val="true"/>
      <sz val="10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rgb="FF468A1A"/>
        <bgColor rgb="FF808000"/>
      </patternFill>
    </fill>
    <fill>
      <patternFill patternType="solid">
        <fgColor rgb="FF5983B0"/>
        <bgColor rgb="FF729FCF"/>
      </patternFill>
    </fill>
    <fill>
      <patternFill patternType="solid">
        <fgColor rgb="FF81D41A"/>
        <bgColor rgb="FFAFD095"/>
      </patternFill>
    </fill>
    <fill>
      <patternFill patternType="solid">
        <fgColor rgb="FFAFD095"/>
        <bgColor rgb="FFB3B3B3"/>
      </patternFill>
    </fill>
    <fill>
      <patternFill patternType="solid">
        <fgColor rgb="FFA7074B"/>
        <bgColor rgb="FF800080"/>
      </patternFill>
    </fill>
    <fill>
      <patternFill patternType="solid">
        <fgColor rgb="FFFF972F"/>
        <bgColor rgb="FFFF8080"/>
      </patternFill>
    </fill>
    <fill>
      <patternFill patternType="solid">
        <fgColor rgb="FF729FCF"/>
        <bgColor rgb="FF5983B0"/>
      </patternFill>
    </fill>
    <fill>
      <patternFill patternType="solid">
        <fgColor rgb="FF666666"/>
        <bgColor rgb="FF5983B0"/>
      </patternFill>
    </fill>
    <fill>
      <patternFill patternType="solid">
        <fgColor rgb="FF3465A4"/>
        <bgColor rgb="FF2A6099"/>
      </patternFill>
    </fill>
    <fill>
      <patternFill patternType="solid">
        <fgColor rgb="FFB4C7DC"/>
        <bgColor rgb="FFB3B3B3"/>
      </patternFill>
    </fill>
    <fill>
      <patternFill patternType="solid">
        <fgColor rgb="FFFFDE59"/>
        <bgColor rgb="FFFFCC00"/>
      </patternFill>
    </fill>
    <fill>
      <patternFill patternType="solid">
        <fgColor rgb="FF2A6099"/>
        <bgColor rgb="FF3465A4"/>
      </patternFill>
    </fill>
    <fill>
      <patternFill patternType="solid">
        <fgColor rgb="FFFFFFFF"/>
        <bgColor rgb="FFFFFFCC"/>
      </patternFill>
    </fill>
    <fill>
      <patternFill patternType="solid">
        <fgColor rgb="FFB2B2B2"/>
        <bgColor rgb="FFB3B3B3"/>
      </patternFill>
    </fill>
  </fills>
  <borders count="19">
    <border diagonalUp="false" diagonalDown="false">
      <left/>
      <right/>
      <top/>
      <bottom/>
      <diagonal/>
    </border>
    <border diagonalUp="false" diagonalDown="false">
      <left style="hair">
        <color rgb="FF00A933"/>
      </left>
      <right style="hair">
        <color rgb="FF00A933"/>
      </right>
      <top/>
      <bottom/>
      <diagonal/>
    </border>
    <border diagonalUp="false" diagonalDown="false">
      <left style="hair">
        <color rgb="FFFF0000"/>
      </left>
      <right style="hair">
        <color rgb="FFFF0000"/>
      </right>
      <top/>
      <bottom/>
      <diagonal/>
    </border>
    <border diagonalUp="false" diagonalDown="false">
      <left style="hair">
        <color rgb="FFFF4000"/>
      </left>
      <right style="hair">
        <color rgb="FFFF4000"/>
      </right>
      <top/>
      <bottom/>
      <diagonal/>
    </border>
    <border diagonalUp="false" diagonalDown="false">
      <left style="hair">
        <color rgb="FFFF0000"/>
      </left>
      <right style="hair">
        <color rgb="FFFF0000"/>
      </right>
      <top style="hair">
        <color rgb="FF666666"/>
      </top>
      <bottom style="hair">
        <color rgb="FF666666"/>
      </bottom>
      <diagonal/>
    </border>
    <border diagonalUp="false" diagonalDown="false">
      <left style="hair">
        <color rgb="FFFF0000"/>
      </left>
      <right style="hair">
        <color rgb="FFFF0000"/>
      </right>
      <top style="hair">
        <color rgb="FF999999"/>
      </top>
      <bottom style="hair">
        <color rgb="FF999999"/>
      </bottom>
      <diagonal/>
    </border>
    <border diagonalUp="false" diagonalDown="false">
      <left style="hair"/>
      <right style="hair"/>
      <top style="hair"/>
      <bottom style="hair"/>
      <diagonal/>
    </border>
    <border diagonalUp="false" diagonalDown="false">
      <left style="hair"/>
      <right style="hair"/>
      <top style="hair"/>
      <bottom/>
      <diagonal/>
    </border>
    <border diagonalUp="false" diagonalDown="false">
      <left style="hair"/>
      <right/>
      <top/>
      <bottom/>
      <diagonal/>
    </border>
    <border diagonalUp="false" diagonalDown="false">
      <left/>
      <right style="hair"/>
      <top/>
      <bottom/>
      <diagonal/>
    </border>
    <border diagonalUp="false" diagonalDown="false">
      <left/>
      <right/>
      <top/>
      <bottom style="hair"/>
      <diagonal/>
    </border>
    <border diagonalUp="false" diagonalDown="false">
      <left/>
      <right style="hair"/>
      <top/>
      <bottom style="hair"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hair"/>
      <right/>
      <top style="hair"/>
      <bottom style="hair"/>
      <diagonal/>
    </border>
    <border diagonalUp="false" diagonalDown="false">
      <left/>
      <right style="hair"/>
      <top style="hair"/>
      <bottom style="hair"/>
      <diagonal/>
    </border>
    <border diagonalUp="false" diagonalDown="false">
      <left style="thin"/>
      <right/>
      <top/>
      <bottom/>
      <diagonal/>
    </border>
    <border diagonalUp="false" diagonalDown="false">
      <left/>
      <right style="thin"/>
      <top/>
      <bottom/>
      <diagonal/>
    </border>
    <border diagonalUp="false" diagonalDown="false">
      <left/>
      <right/>
      <top style="thin">
        <color rgb="FFB2B2B2"/>
      </top>
      <bottom style="thin">
        <color rgb="FFB2B2B2"/>
      </bottom>
      <diagonal/>
    </border>
    <border diagonalUp="false" diagonalDown="false">
      <left/>
      <right/>
      <top/>
      <bottom style="thin">
        <color rgb="FFB2B2B2"/>
      </bottom>
      <diagonal/>
    </border>
  </borders>
  <cellStyleXfs count="32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0" fillId="2" borderId="0" applyFont="false" applyBorder="false" applyAlignment="false" applyProtection="false"/>
    <xf numFmtId="164" fontId="0" fillId="3" borderId="0" applyFont="false" applyBorder="false" applyAlignment="false" applyProtection="false"/>
    <xf numFmtId="164" fontId="0" fillId="4" borderId="0" applyFont="false" applyBorder="false" applyAlignment="false" applyProtection="false"/>
    <xf numFmtId="164" fontId="0" fillId="0" borderId="1" applyFont="false" applyBorder="true" applyAlignment="false" applyProtection="false"/>
    <xf numFmtId="164" fontId="0" fillId="0" borderId="2" applyFont="false" applyBorder="true" applyAlignment="false" applyProtection="false"/>
    <xf numFmtId="164" fontId="0" fillId="0" borderId="3" applyFont="false" applyBorder="true" applyAlignment="false" applyProtection="false"/>
    <xf numFmtId="164" fontId="0" fillId="0" borderId="2" applyFont="false" applyBorder="true" applyAlignment="false" applyProtection="false"/>
    <xf numFmtId="164" fontId="0" fillId="5" borderId="2" applyFont="false" applyBorder="true" applyAlignment="false" applyProtection="false"/>
    <xf numFmtId="164" fontId="0" fillId="0" borderId="4" applyFont="false" applyBorder="true" applyAlignment="false" applyProtection="false"/>
    <xf numFmtId="164" fontId="0" fillId="0" borderId="5" applyFont="false" applyBorder="true" applyAlignment="false" applyProtection="false"/>
    <xf numFmtId="164" fontId="0" fillId="6" borderId="0" applyFont="false" applyBorder="false" applyAlignment="false" applyProtection="false"/>
    <xf numFmtId="164" fontId="0" fillId="7" borderId="0" applyFont="false" applyBorder="false" applyAlignment="false" applyProtection="false"/>
  </cellStyleXfs>
  <cellXfs count="89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6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0" borderId="6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6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6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center" textRotation="0" wrapText="true" indent="0" shrinkToFit="false"/>
      <protection locked="true" hidden="false"/>
    </xf>
    <xf numFmtId="164" fontId="4" fillId="0" borderId="6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4" fillId="0" borderId="6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0" fillId="0" borderId="6" xfId="0" applyFont="fals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4" fillId="8" borderId="6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8" borderId="6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4" fillId="0" borderId="6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4" fillId="0" borderId="6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0" fillId="0" borderId="6" xfId="0" applyFont="true" applyBorder="true" applyAlignment="true" applyProtection="false">
      <alignment horizontal="left" vertical="bottom" textRotation="0" wrapText="false" indent="1" shrinkToFit="false"/>
      <protection locked="true" hidden="false"/>
    </xf>
    <xf numFmtId="164" fontId="0" fillId="0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false" applyProtection="true">
      <alignment horizontal="general" vertical="bottom" textRotation="0" wrapText="false" indent="0" shrinkToFit="false"/>
      <protection locked="false" hidden="false"/>
    </xf>
    <xf numFmtId="164" fontId="6" fillId="9" borderId="7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4" fillId="10" borderId="8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0" fillId="0" borderId="9" xfId="0" applyFont="fals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4" fillId="11" borderId="6" xfId="0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65" fontId="4" fillId="8" borderId="6" xfId="0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4" fillId="12" borderId="6" xfId="0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66" fontId="0" fillId="11" borderId="0" xfId="0" applyFont="false" applyBorder="false" applyAlignment="false" applyProtection="true">
      <alignment horizontal="general" vertical="bottom" textRotation="0" wrapText="false" indent="0" shrinkToFit="false"/>
      <protection locked="true" hidden="false"/>
    </xf>
    <xf numFmtId="166" fontId="0" fillId="12" borderId="6" xfId="0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67" fontId="4" fillId="8" borderId="6" xfId="0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0" fillId="12" borderId="6" xfId="0" applyFont="false" applyBorder="true" applyAlignment="false" applyProtection="true">
      <alignment horizontal="general" vertical="bottom" textRotation="0" wrapText="false" indent="0" shrinkToFit="false"/>
      <protection locked="false" hidden="false"/>
    </xf>
    <xf numFmtId="166" fontId="0" fillId="11" borderId="6" xfId="0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68" fontId="0" fillId="12" borderId="6" xfId="0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68" fontId="0" fillId="11" borderId="6" xfId="0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0" fillId="0" borderId="8" xfId="0" applyFont="fals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4" fillId="13" borderId="6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4" fillId="11" borderId="6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9" fontId="0" fillId="12" borderId="6" xfId="0" applyFont="true" applyBorder="true" applyAlignment="true" applyProtection="true">
      <alignment horizontal="right" vertical="bottom" textRotation="0" wrapText="false" indent="0" shrinkToFit="false"/>
      <protection locked="false" hidden="false"/>
    </xf>
    <xf numFmtId="170" fontId="4" fillId="12" borderId="6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6" fontId="4" fillId="8" borderId="6" xfId="0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70" fontId="0" fillId="12" borderId="6" xfId="0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0" fillId="0" borderId="10" xfId="0" applyFont="fals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0" fillId="0" borderId="11" xfId="0" applyFont="false" applyBorder="true" applyAlignment="false" applyProtection="true">
      <alignment horizontal="general" vertical="bottom" textRotation="0" wrapText="false" indent="0" shrinkToFit="false"/>
      <protection locked="false" hidden="false"/>
    </xf>
    <xf numFmtId="169" fontId="0" fillId="0" borderId="0" xfId="0" applyFont="false" applyBorder="true" applyAlignment="true" applyProtection="true">
      <alignment horizontal="right" vertical="bottom" textRotation="0" wrapText="false" indent="0" shrinkToFit="false"/>
      <protection locked="false" hidden="false"/>
    </xf>
    <xf numFmtId="164" fontId="0" fillId="0" borderId="0" xfId="0" applyFont="fals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0" fillId="0" borderId="0" xfId="0" applyFont="false" applyBorder="true" applyAlignment="false" applyProtection="true">
      <alignment horizontal="general" vertical="bottom" textRotation="0" wrapText="false" indent="0" shrinkToFit="false"/>
      <protection locked="false" hidden="false"/>
    </xf>
    <xf numFmtId="169" fontId="6" fillId="9" borderId="7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9" fontId="7" fillId="14" borderId="8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0" fillId="14" borderId="0" xfId="0" applyFont="fals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0" fillId="14" borderId="0" xfId="0" applyFont="fals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7" fillId="14" borderId="0" xfId="0" applyFont="true" applyBorder="false" applyAlignment="false" applyProtection="true">
      <alignment horizontal="general" vertical="bottom" textRotation="0" wrapText="false" indent="0" shrinkToFit="false"/>
      <protection locked="false" hidden="false"/>
    </xf>
    <xf numFmtId="164" fontId="0" fillId="14" borderId="0" xfId="0" applyFont="false" applyBorder="false" applyAlignment="false" applyProtection="true">
      <alignment horizontal="general" vertical="bottom" textRotation="0" wrapText="false" indent="0" shrinkToFit="false"/>
      <protection locked="false" hidden="false"/>
    </xf>
    <xf numFmtId="164" fontId="0" fillId="14" borderId="9" xfId="0" applyFont="fals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0" fillId="0" borderId="0" xfId="0" applyFont="false" applyBorder="false" applyAlignment="true" applyProtection="false">
      <alignment horizontal="general" vertical="center" textRotation="0" wrapText="false" indent="0" shrinkToFit="false"/>
      <protection locked="true" hidden="false"/>
    </xf>
    <xf numFmtId="171" fontId="0" fillId="0" borderId="0" xfId="0" applyFont="fals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0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0" xfId="0" applyFont="false" applyBorder="true" applyAlignment="true" applyProtection="false">
      <alignment horizontal="general" vertical="center" textRotation="0" wrapText="false" indent="0" shrinkToFit="false"/>
      <protection locked="true" hidden="false"/>
    </xf>
    <xf numFmtId="172" fontId="4" fillId="15" borderId="12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0" fillId="13" borderId="13" xfId="0" applyFont="fals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7" fillId="13" borderId="14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73" fontId="0" fillId="5" borderId="6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8" fillId="14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8" fillId="14" borderId="0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74" fontId="8" fillId="15" borderId="1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4" fontId="8" fillId="15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4" fontId="8" fillId="15" borderId="16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7" fillId="9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6" fontId="9" fillId="9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4" fillId="0" borderId="17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75" fontId="10" fillId="0" borderId="1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1" fontId="4" fillId="0" borderId="1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0" borderId="1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6" fontId="4" fillId="0" borderId="1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0" borderId="0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0" fillId="0" borderId="18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75" fontId="11" fillId="0" borderId="1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1" fontId="0" fillId="0" borderId="18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18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18" xfId="0" applyFont="fals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0" fillId="0" borderId="17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75" fontId="11" fillId="0" borderId="1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1" fontId="0" fillId="0" borderId="17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17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17" xfId="0" applyFont="false" applyBorder="true" applyAlignment="true" applyProtection="false">
      <alignment horizontal="general" vertical="center" textRotation="0" wrapText="false" indent="0" shrinkToFit="false"/>
      <protection locked="true" hidden="false"/>
    </xf>
  </cellXfs>
  <cellStyles count="18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Sin título1" xfId="20"/>
    <cellStyle name="Sin título2" xfId="21"/>
    <cellStyle name="Sin título3" xfId="22"/>
    <cellStyle name="Sin título4" xfId="23"/>
    <cellStyle name="Sin título5" xfId="24"/>
    <cellStyle name="Sin título6" xfId="25"/>
    <cellStyle name="Sin título7" xfId="26"/>
    <cellStyle name="Sin título8" xfId="27"/>
    <cellStyle name="Sin título9" xfId="28"/>
    <cellStyle name="Sin título10" xfId="29"/>
    <cellStyle name="Sin título11" xfId="30"/>
    <cellStyle name="Sin título12" xfId="31"/>
  </cellStyles>
  <dxfs count="3">
    <dxf>
      <fill>
        <patternFill>
          <bgColor rgb="FF81D41A"/>
        </patternFill>
      </fill>
    </dxf>
    <dxf>
      <fill>
        <patternFill>
          <bgColor rgb="FF5983B0"/>
        </patternFill>
      </fill>
    </dxf>
    <dxf>
      <border diagonalUp="false" diagonalDown="false">
        <left style="hair"/>
        <right style="hair"/>
        <top style="hair"/>
        <bottom style="hair"/>
        <diagonal/>
      </border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A933"/>
      <rgbColor rgb="FF000080"/>
      <rgbColor rgb="FF808000"/>
      <rgbColor rgb="FFA7074B"/>
      <rgbColor rgb="FF008080"/>
      <rgbColor rgb="FFB4C7DC"/>
      <rgbColor rgb="FF5983B0"/>
      <rgbColor rgb="FF729FCF"/>
      <rgbColor rgb="FF993366"/>
      <rgbColor rgb="FFFFFFCC"/>
      <rgbColor rgb="FFCCFFFF"/>
      <rgbColor rgb="FF660066"/>
      <rgbColor rgb="FFFF8080"/>
      <rgbColor rgb="FF2A6099"/>
      <rgbColor rgb="FFB3B3B3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AFD095"/>
      <rgbColor rgb="FFFF99CC"/>
      <rgbColor rgb="FFB2B2B2"/>
      <rgbColor rgb="FFFFDE59"/>
      <rgbColor rgb="FF3465A4"/>
      <rgbColor rgb="FF33CCCC"/>
      <rgbColor rgb="FF81D41A"/>
      <rgbColor rgb="FFFFCC00"/>
      <rgbColor rgb="FFFF972F"/>
      <rgbColor rgb="FFFF420E"/>
      <rgbColor rgb="FF666666"/>
      <rgbColor rgb="FF999999"/>
      <rgbColor rgb="FF004586"/>
      <rgbColor rgb="FF468A1A"/>
      <rgbColor rgb="FF003300"/>
      <rgbColor rgb="FF333300"/>
      <rgbColor rgb="FFFF40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worksheet" Target="worksheets/sheet3.xml"/><Relationship Id="rId5" Type="http://schemas.openxmlformats.org/officeDocument/2006/relationships/worksheet" Target="worksheets/sheet4.xml"/><Relationship Id="rId6" Type="http://schemas.openxmlformats.org/officeDocument/2006/relationships/worksheet" Target="worksheets/sheet5.xml"/><Relationship Id="rId7" Type="http://schemas.openxmlformats.org/officeDocument/2006/relationships/sharedStrings" Target="sharedStrings.xml"/>
</Relationships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autoTitleDeleted val="1"/>
    <c:plotArea>
      <c:lineChart>
        <c:grouping val="standard"/>
        <c:varyColors val="0"/>
        <c:ser>
          <c:idx val="0"/>
          <c:order val="0"/>
          <c:tx>
            <c:strRef>
              <c:f>BurnDownChart!$C$15</c:f>
              <c:strCache>
                <c:ptCount val="1"/>
                <c:pt idx="0">
                  <c:v>IDEAL</c:v>
                </c:pt>
              </c:strCache>
            </c:strRef>
          </c:tx>
          <c:spPr>
            <a:solidFill>
              <a:srgbClr val="004586"/>
            </a:solidFill>
            <a:ln w="28800">
              <a:solidFill>
                <a:srgbClr val="004586"/>
              </a:solidFill>
              <a:round/>
            </a:ln>
          </c:spPr>
          <c:marker>
            <c:symbol val="square"/>
            <c:size val="8"/>
            <c:spPr>
              <a:solidFill>
                <a:srgbClr val="004586"/>
              </a:solidFill>
            </c:spPr>
          </c:marker>
          <c:dLbls>
            <c:txPr>
              <a:bodyPr wrap="none"/>
              <a:lstStyle/>
              <a:p>
                <a:pPr>
                  <a:defRPr b="0" lang="es-CO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BurnDownChart!$B$16:$B$21</c:f>
              <c:strCache>
                <c:ptCount val="6"/>
                <c:pt idx="0">
                  <c:v>sábado 11 de septiembre de 2021</c:v>
                </c:pt>
                <c:pt idx="1">
                  <c:v>domingo 12 de septiembre de 2021</c:v>
                </c:pt>
                <c:pt idx="2">
                  <c:v>lunes 13 de septiembre de 2021</c:v>
                </c:pt>
                <c:pt idx="3">
                  <c:v>martes 14 de septiembre de 2021</c:v>
                </c:pt>
                <c:pt idx="4">
                  <c:v>miércoles 15 de septiembre de 2021</c:v>
                </c:pt>
                <c:pt idx="5">
                  <c:v>jueves 16 de septiembre de 2021</c:v>
                </c:pt>
              </c:strCache>
            </c:strRef>
          </c:cat>
          <c:val>
            <c:numRef>
              <c:f>BurnDownChart!$C$16:$C$21</c:f>
              <c:numCache>
                <c:formatCode>General</c:formatCode>
                <c:ptCount val="6"/>
                <c:pt idx="0">
                  <c:v>100</c:v>
                </c:pt>
                <c:pt idx="1">
                  <c:v>80</c:v>
                </c:pt>
                <c:pt idx="2">
                  <c:v>60</c:v>
                </c:pt>
                <c:pt idx="3">
                  <c:v>40</c:v>
                </c:pt>
                <c:pt idx="4">
                  <c:v>20</c:v>
                </c:pt>
                <c:pt idx="5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BurnDownChart!$D$15</c:f>
              <c:strCache>
                <c:ptCount val="1"/>
                <c:pt idx="0">
                  <c:v>REAL</c:v>
                </c:pt>
              </c:strCache>
            </c:strRef>
          </c:tx>
          <c:spPr>
            <a:solidFill>
              <a:srgbClr val="ff420e"/>
            </a:solidFill>
            <a:ln w="28800">
              <a:solidFill>
                <a:srgbClr val="ff420e"/>
              </a:solidFill>
              <a:round/>
            </a:ln>
          </c:spPr>
          <c:marker>
            <c:symbol val="diamond"/>
            <c:size val="8"/>
            <c:spPr>
              <a:solidFill>
                <a:srgbClr val="ff420e"/>
              </a:solidFill>
            </c:spPr>
          </c:marker>
          <c:dLbls>
            <c:txPr>
              <a:bodyPr wrap="none"/>
              <a:lstStyle/>
              <a:p>
                <a:pPr>
                  <a:defRPr b="0" lang="es-CO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BurnDownChart!$B$16:$B$21</c:f>
              <c:strCache>
                <c:ptCount val="6"/>
                <c:pt idx="0">
                  <c:v>sábado 11 de septiembre de 2021</c:v>
                </c:pt>
                <c:pt idx="1">
                  <c:v>domingo 12 de septiembre de 2021</c:v>
                </c:pt>
                <c:pt idx="2">
                  <c:v>lunes 13 de septiembre de 2021</c:v>
                </c:pt>
                <c:pt idx="3">
                  <c:v>martes 14 de septiembre de 2021</c:v>
                </c:pt>
                <c:pt idx="4">
                  <c:v>miércoles 15 de septiembre de 2021</c:v>
                </c:pt>
                <c:pt idx="5">
                  <c:v>jueves 16 de septiembre de 2021</c:v>
                </c:pt>
              </c:strCache>
            </c:strRef>
          </c:cat>
          <c:val>
            <c:numRef>
              <c:f>BurnDownChart!$D$16:$D$21</c:f>
              <c:numCache>
                <c:formatCode>General</c:formatCode>
                <c:ptCount val="6"/>
                <c:pt idx="0">
                  <c:v>100</c:v>
                </c:pt>
                <c:pt idx="1">
                  <c:v>90</c:v>
                </c:pt>
                <c:pt idx="2">
                  <c:v>70</c:v>
                </c:pt>
                <c:pt idx="3">
                  <c:v>52</c:v>
                </c:pt>
                <c:pt idx="4">
                  <c:v>42</c:v>
                </c:pt>
                <c:pt idx="5">
                  <c:v>32</c:v>
                </c:pt>
              </c:numCache>
            </c:numRef>
          </c:val>
          <c:smooth val="0"/>
        </c:ser>
        <c:hiLowLines>
          <c:spPr>
            <a:ln w="0">
              <a:noFill/>
            </a:ln>
          </c:spPr>
        </c:hiLowLines>
        <c:marker val="1"/>
        <c:axId val="5916684"/>
        <c:axId val="94624493"/>
      </c:lineChart>
      <c:catAx>
        <c:axId val="5916684"/>
        <c:scaling>
          <c:orientation val="minMax"/>
        </c:scaling>
        <c:delete val="0"/>
        <c:axPos val="b"/>
        <c:numFmt formatCode="dd/mm/yy" sourceLinked="0"/>
        <c:majorTickMark val="out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b="0" lang="es-CO" sz="1000" spc="-1" strike="noStrike">
                <a:latin typeface="Arial"/>
              </a:defRPr>
            </a:pPr>
          </a:p>
        </c:txPr>
        <c:crossAx val="94624493"/>
        <c:crosses val="autoZero"/>
        <c:auto val="1"/>
        <c:lblAlgn val="ctr"/>
        <c:lblOffset val="100"/>
        <c:noMultiLvlLbl val="0"/>
      </c:catAx>
      <c:valAx>
        <c:axId val="94624493"/>
        <c:scaling>
          <c:orientation val="minMax"/>
        </c:scaling>
        <c:delete val="0"/>
        <c:axPos val="l"/>
        <c:majorGridlines>
          <c:spPr>
            <a:ln w="0">
              <a:solidFill>
                <a:srgbClr val="b3b3b3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b="0" lang="es-CO" sz="1000" spc="-1" strike="noStrike">
                <a:latin typeface="Arial"/>
              </a:defRPr>
            </a:pPr>
          </a:p>
        </c:txPr>
        <c:crossAx val="5916684"/>
        <c:crosses val="autoZero"/>
        <c:crossBetween val="midCat"/>
      </c:valAx>
      <c:spPr>
        <a:noFill/>
        <a:ln w="0">
          <a:solidFill>
            <a:srgbClr val="b3b3b3"/>
          </a:solidFill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b="0" lang="es-CO" sz="1000" spc="-1" strike="noStrike">
              <a:latin typeface="Arial"/>
            </a:defRPr>
          </a:pPr>
        </a:p>
      </c:txPr>
    </c:legend>
    <c:plotVisOnly val="1"/>
    <c:dispBlanksAs val="gap"/>
  </c:chart>
  <c:spPr>
    <a:solidFill>
      <a:srgbClr val="ffffff"/>
    </a:solidFill>
    <a:ln w="0">
      <a:solidFill>
        <a:srgbClr val="000000"/>
      </a:solidFill>
    </a:ln>
  </c:sp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autoTitleDeleted val="1"/>
    <c:plotArea>
      <c:lineChart>
        <c:grouping val="standard"/>
        <c:varyColors val="0"/>
        <c:ser>
          <c:idx val="0"/>
          <c:order val="0"/>
          <c:tx>
            <c:strRef>
              <c:f>BurnDownChart!$C$41</c:f>
              <c:strCache>
                <c:ptCount val="1"/>
                <c:pt idx="0">
                  <c:v>IDEAL</c:v>
                </c:pt>
              </c:strCache>
            </c:strRef>
          </c:tx>
          <c:spPr>
            <a:solidFill>
              <a:srgbClr val="004586"/>
            </a:solidFill>
            <a:ln w="28800">
              <a:solidFill>
                <a:srgbClr val="004586"/>
              </a:solidFill>
              <a:round/>
            </a:ln>
          </c:spPr>
          <c:marker>
            <c:symbol val="square"/>
            <c:size val="8"/>
            <c:spPr>
              <a:solidFill>
                <a:srgbClr val="004586"/>
              </a:solidFill>
            </c:spPr>
          </c:marker>
          <c:dLbls>
            <c:txPr>
              <a:bodyPr wrap="none"/>
              <a:lstStyle/>
              <a:p>
                <a:pPr>
                  <a:defRPr b="0" lang="es-CO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BurnDownChart!$B$42:$B$48</c:f>
              <c:strCache>
                <c:ptCount val="7"/>
                <c:pt idx="0">
                  <c:v>lunes 20 de septiembre de 2021</c:v>
                </c:pt>
                <c:pt idx="1">
                  <c:v>martes 21 de septiembre de 2021</c:v>
                </c:pt>
                <c:pt idx="2">
                  <c:v>miércoles 22 de septiembre de 2021</c:v>
                </c:pt>
                <c:pt idx="3">
                  <c:v>jueves 23 de septiembre de 2021</c:v>
                </c:pt>
                <c:pt idx="4">
                  <c:v>viernes 24 de septiembre de 2021</c:v>
                </c:pt>
                <c:pt idx="5">
                  <c:v>sábado 25 de septiembre de 2021</c:v>
                </c:pt>
                <c:pt idx="6">
                  <c:v>domingo 26 de septiembre de 2021</c:v>
                </c:pt>
              </c:strCache>
            </c:strRef>
          </c:cat>
          <c:val>
            <c:numRef>
              <c:f>BurnDownChart!$C$42:$C$48</c:f>
              <c:numCache>
                <c:formatCode>General</c:formatCode>
                <c:ptCount val="7"/>
                <c:pt idx="0">
                  <c:v>140</c:v>
                </c:pt>
                <c:pt idx="1">
                  <c:v>116.666666666667</c:v>
                </c:pt>
                <c:pt idx="2">
                  <c:v>93.3333333333333</c:v>
                </c:pt>
                <c:pt idx="3">
                  <c:v>70</c:v>
                </c:pt>
                <c:pt idx="4">
                  <c:v>46.6666666666667</c:v>
                </c:pt>
                <c:pt idx="5">
                  <c:v>23.3333333333334</c:v>
                </c:pt>
                <c:pt idx="6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BurnDownChart!$D$41</c:f>
              <c:strCache>
                <c:ptCount val="1"/>
                <c:pt idx="0">
                  <c:v>REAL</c:v>
                </c:pt>
              </c:strCache>
            </c:strRef>
          </c:tx>
          <c:spPr>
            <a:solidFill>
              <a:srgbClr val="ff420e"/>
            </a:solidFill>
            <a:ln w="28800">
              <a:solidFill>
                <a:srgbClr val="ff420e"/>
              </a:solidFill>
              <a:round/>
            </a:ln>
          </c:spPr>
          <c:marker>
            <c:symbol val="diamond"/>
            <c:size val="8"/>
            <c:spPr>
              <a:solidFill>
                <a:srgbClr val="ff420e"/>
              </a:solidFill>
            </c:spPr>
          </c:marker>
          <c:dLbls>
            <c:txPr>
              <a:bodyPr wrap="none"/>
              <a:lstStyle/>
              <a:p>
                <a:pPr>
                  <a:defRPr b="0" lang="es-CO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BurnDownChart!$B$42:$B$48</c:f>
              <c:strCache>
                <c:ptCount val="7"/>
                <c:pt idx="0">
                  <c:v>lunes 20 de septiembre de 2021</c:v>
                </c:pt>
                <c:pt idx="1">
                  <c:v>martes 21 de septiembre de 2021</c:v>
                </c:pt>
                <c:pt idx="2">
                  <c:v>miércoles 22 de septiembre de 2021</c:v>
                </c:pt>
                <c:pt idx="3">
                  <c:v>jueves 23 de septiembre de 2021</c:v>
                </c:pt>
                <c:pt idx="4">
                  <c:v>viernes 24 de septiembre de 2021</c:v>
                </c:pt>
                <c:pt idx="5">
                  <c:v>sábado 25 de septiembre de 2021</c:v>
                </c:pt>
                <c:pt idx="6">
                  <c:v>domingo 26 de septiembre de 2021</c:v>
                </c:pt>
              </c:strCache>
            </c:strRef>
          </c:cat>
          <c:val>
            <c:numRef>
              <c:f>BurnDownChart!$D$42:$D$48</c:f>
              <c:numCache>
                <c:formatCode>General</c:formatCode>
                <c:ptCount val="7"/>
                <c:pt idx="0">
                  <c:v>140</c:v>
                </c:pt>
                <c:pt idx="1">
                  <c:v>120</c:v>
                </c:pt>
                <c:pt idx="2">
                  <c:v>100</c:v>
                </c:pt>
                <c:pt idx="3">
                  <c:v>70</c:v>
                </c:pt>
              </c:numCache>
            </c:numRef>
          </c:val>
          <c:smooth val="0"/>
        </c:ser>
        <c:hiLowLines>
          <c:spPr>
            <a:ln w="0">
              <a:noFill/>
            </a:ln>
          </c:spPr>
        </c:hiLowLines>
        <c:marker val="1"/>
        <c:axId val="37797379"/>
        <c:axId val="87570176"/>
      </c:lineChart>
      <c:catAx>
        <c:axId val="37797379"/>
        <c:scaling>
          <c:orientation val="minMax"/>
        </c:scaling>
        <c:delete val="0"/>
        <c:axPos val="b"/>
        <c:numFmt formatCode="dd/mm/yy" sourceLinked="0"/>
        <c:majorTickMark val="out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b="0" lang="es-CO" sz="1000" spc="-1" strike="noStrike">
                <a:latin typeface="Arial"/>
              </a:defRPr>
            </a:pPr>
          </a:p>
        </c:txPr>
        <c:crossAx val="87570176"/>
        <c:crosses val="autoZero"/>
        <c:auto val="1"/>
        <c:lblAlgn val="ctr"/>
        <c:lblOffset val="100"/>
        <c:noMultiLvlLbl val="0"/>
      </c:catAx>
      <c:valAx>
        <c:axId val="87570176"/>
        <c:scaling>
          <c:orientation val="minMax"/>
        </c:scaling>
        <c:delete val="0"/>
        <c:axPos val="l"/>
        <c:majorGridlines>
          <c:spPr>
            <a:ln w="0">
              <a:solidFill>
                <a:srgbClr val="b3b3b3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b="0" lang="es-CO" sz="1000" spc="-1" strike="noStrike">
                <a:latin typeface="Arial"/>
              </a:defRPr>
            </a:pPr>
          </a:p>
        </c:txPr>
        <c:crossAx val="37797379"/>
        <c:crosses val="autoZero"/>
        <c:crossBetween val="midCat"/>
      </c:valAx>
      <c:spPr>
        <a:noFill/>
        <a:ln w="0">
          <a:solidFill>
            <a:srgbClr val="b3b3b3"/>
          </a:solidFill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b="0" lang="es-CO" sz="1000" spc="-1" strike="noStrike">
              <a:latin typeface="Arial"/>
            </a:defRPr>
          </a:pPr>
        </a:p>
      </c:txPr>
    </c:legend>
    <c:plotVisOnly val="1"/>
    <c:dispBlanksAs val="gap"/>
  </c:chart>
  <c:spPr>
    <a:solidFill>
      <a:srgbClr val="ffffff"/>
    </a:solidFill>
    <a:ln w="0">
      <a:solidFill>
        <a:srgbClr val="000000"/>
      </a:solidFill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3.xml"/><Relationship Id="rId2" Type="http://schemas.openxmlformats.org/officeDocument/2006/relationships/chart" Target="../charts/chart4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4</xdr:col>
      <xdr:colOff>774360</xdr:colOff>
      <xdr:row>4</xdr:row>
      <xdr:rowOff>15120</xdr:rowOff>
    </xdr:from>
    <xdr:to>
      <xdr:col>11</xdr:col>
      <xdr:colOff>476280</xdr:colOff>
      <xdr:row>19</xdr:row>
      <xdr:rowOff>169920</xdr:rowOff>
    </xdr:to>
    <xdr:graphicFrame>
      <xdr:nvGraphicFramePr>
        <xdr:cNvPr id="0" name=""/>
        <xdr:cNvGraphicFramePr/>
      </xdr:nvGraphicFramePr>
      <xdr:xfrm>
        <a:off x="5405400" y="934920"/>
        <a:ext cx="5391360" cy="326952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</xdr:col>
      <xdr:colOff>16200</xdr:colOff>
      <xdr:row>27</xdr:row>
      <xdr:rowOff>5400</xdr:rowOff>
    </xdr:from>
    <xdr:to>
      <xdr:col>11</xdr:col>
      <xdr:colOff>530640</xdr:colOff>
      <xdr:row>42</xdr:row>
      <xdr:rowOff>160200</xdr:rowOff>
    </xdr:to>
    <xdr:graphicFrame>
      <xdr:nvGraphicFramePr>
        <xdr:cNvPr id="1" name=""/>
        <xdr:cNvGraphicFramePr/>
      </xdr:nvGraphicFramePr>
      <xdr:xfrm>
        <a:off x="5459760" y="5790600"/>
        <a:ext cx="5391360" cy="326952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891000</xdr:colOff>
          <xdr:row>3</xdr:row>
          <xdr:rowOff>0</xdr:rowOff>
        </xdr:from>
        <xdr:to>
          <xdr:col>5</xdr:col>
          <xdr:colOff>11520</xdr:colOff>
          <xdr:row>4</xdr:row>
          <xdr:rowOff>-10800</xdr:rowOff>
        </xdr:to>
        <xdr:sp>
          <xdr:nvSpPr>
            <xdr:cNvPr id="0" name="Barra de desplazamiento 1" descr="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/>
              </a:r>
            </a:p>
          </xdr:txBody>
        </xdr:sp>
        <xdr:clientData/>
      </xdr:twoCellAnchor>
    </mc:Choice>
  </mc:AlternateContent>
</xdr:wsDr>
</file>

<file path=xl/worksheets/_rels/sheet4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5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B1:G22"/>
  <sheetViews>
    <sheetView showFormulas="false" showGridLines="false" showRowColHeaders="true" showZeros="true" rightToLeft="false" tabSelected="false" showOutlineSymbols="true" defaultGridColor="true" view="normal" topLeftCell="A28" colorId="64" zoomScale="100" zoomScaleNormal="100" zoomScalePageLayoutView="100" workbookViewId="0">
      <selection pane="topLeft" activeCell="D15" activeCellId="0" sqref="D15"/>
    </sheetView>
  </sheetViews>
  <sheetFormatPr defaultColWidth="11.53515625" defaultRowHeight="12.8" zeroHeight="false" outlineLevelRow="0" outlineLevelCol="0"/>
  <cols>
    <col collapsed="false" customWidth="true" hidden="false" outlineLevel="0" max="1" min="1" style="1" width="5.32"/>
    <col collapsed="false" customWidth="true" hidden="false" outlineLevel="0" max="2" min="2" style="2" width="5.32"/>
    <col collapsed="false" customWidth="true" hidden="false" outlineLevel="0" max="3" min="3" style="1" width="80.58"/>
    <col collapsed="false" customWidth="true" hidden="false" outlineLevel="0" max="4" min="4" style="3" width="14.16"/>
    <col collapsed="false" customWidth="true" hidden="false" outlineLevel="0" max="5" min="5" style="3" width="12.73"/>
    <col collapsed="false" customWidth="false" hidden="false" outlineLevel="0" max="1024" min="6" style="1" width="11.52"/>
  </cols>
  <sheetData>
    <row r="1" customFormat="false" ht="12.8" hidden="false" customHeight="false" outlineLevel="0" collapsed="false">
      <c r="F1" s="4"/>
    </row>
    <row r="2" customFormat="false" ht="12.8" hidden="false" customHeight="false" outlineLevel="0" collapsed="false">
      <c r="B2" s="5" t="s">
        <v>0</v>
      </c>
      <c r="C2" s="6" t="s">
        <v>1</v>
      </c>
      <c r="D2" s="5" t="s">
        <v>2</v>
      </c>
      <c r="E2" s="5" t="s">
        <v>3</v>
      </c>
    </row>
    <row r="3" customFormat="false" ht="180.55" hidden="false" customHeight="false" outlineLevel="0" collapsed="false">
      <c r="B3" s="7" t="n">
        <v>1</v>
      </c>
      <c r="C3" s="8" t="s">
        <v>4</v>
      </c>
      <c r="D3" s="5" t="s">
        <v>5</v>
      </c>
      <c r="E3" s="5"/>
      <c r="F3" s="4"/>
    </row>
    <row r="4" customFormat="false" ht="46.25" hidden="false" customHeight="false" outlineLevel="0" collapsed="false">
      <c r="B4" s="7" t="n">
        <v>2</v>
      </c>
      <c r="C4" s="8" t="s">
        <v>6</v>
      </c>
      <c r="D4" s="5" t="s">
        <v>5</v>
      </c>
      <c r="E4" s="5"/>
    </row>
    <row r="5" customFormat="false" ht="23.85" hidden="false" customHeight="false" outlineLevel="0" collapsed="false">
      <c r="B5" s="7" t="n">
        <v>3</v>
      </c>
      <c r="C5" s="8" t="s">
        <v>7</v>
      </c>
      <c r="D5" s="5" t="s">
        <v>5</v>
      </c>
      <c r="E5" s="5"/>
    </row>
    <row r="6" customFormat="false" ht="79.85" hidden="false" customHeight="false" outlineLevel="0" collapsed="false">
      <c r="B6" s="7" t="n">
        <v>4</v>
      </c>
      <c r="C6" s="8" t="s">
        <v>8</v>
      </c>
      <c r="D6" s="5" t="s">
        <v>9</v>
      </c>
      <c r="E6" s="5"/>
    </row>
    <row r="7" customFormat="false" ht="46.25" hidden="false" customHeight="false" outlineLevel="0" collapsed="false">
      <c r="B7" s="7" t="n">
        <v>5</v>
      </c>
      <c r="C7" s="8" t="s">
        <v>10</v>
      </c>
      <c r="D7" s="5" t="s">
        <v>9</v>
      </c>
      <c r="E7" s="5"/>
    </row>
    <row r="8" customFormat="false" ht="23.85" hidden="false" customHeight="false" outlineLevel="0" collapsed="false">
      <c r="B8" s="7" t="n">
        <v>6</v>
      </c>
      <c r="C8" s="8" t="s">
        <v>11</v>
      </c>
      <c r="D8" s="5" t="s">
        <v>9</v>
      </c>
      <c r="E8" s="5"/>
    </row>
    <row r="9" customFormat="false" ht="191.75" hidden="false" customHeight="false" outlineLevel="0" collapsed="false">
      <c r="B9" s="7" t="n">
        <v>7</v>
      </c>
      <c r="C9" s="8" t="s">
        <v>12</v>
      </c>
      <c r="D9" s="5" t="s">
        <v>13</v>
      </c>
      <c r="E9" s="5"/>
    </row>
    <row r="10" customFormat="false" ht="35.05" hidden="false" customHeight="false" outlineLevel="0" collapsed="false">
      <c r="B10" s="7" t="n">
        <v>8</v>
      </c>
      <c r="C10" s="8" t="s">
        <v>14</v>
      </c>
      <c r="D10" s="5" t="s">
        <v>13</v>
      </c>
      <c r="E10" s="5"/>
    </row>
    <row r="11" customFormat="false" ht="35.05" hidden="false" customHeight="false" outlineLevel="0" collapsed="false">
      <c r="B11" s="7" t="n">
        <v>9</v>
      </c>
      <c r="C11" s="8" t="s">
        <v>15</v>
      </c>
      <c r="D11" s="5" t="s">
        <v>13</v>
      </c>
      <c r="E11" s="5"/>
    </row>
    <row r="12" customFormat="false" ht="35.05" hidden="false" customHeight="false" outlineLevel="0" collapsed="false">
      <c r="B12" s="7" t="n">
        <v>10</v>
      </c>
      <c r="C12" s="8" t="s">
        <v>16</v>
      </c>
      <c r="D12" s="5" t="s">
        <v>13</v>
      </c>
      <c r="E12" s="5"/>
    </row>
    <row r="13" customFormat="false" ht="46.25" hidden="false" customHeight="false" outlineLevel="0" collapsed="false">
      <c r="B13" s="7" t="n">
        <v>11</v>
      </c>
      <c r="C13" s="8" t="s">
        <v>17</v>
      </c>
      <c r="D13" s="5" t="s">
        <v>13</v>
      </c>
      <c r="E13" s="5"/>
      <c r="G13" s="9" t="s">
        <v>18</v>
      </c>
    </row>
    <row r="14" customFormat="false" ht="79.85" hidden="false" customHeight="false" outlineLevel="0" collapsed="false">
      <c r="B14" s="7" t="n">
        <v>12</v>
      </c>
      <c r="C14" s="8" t="s">
        <v>19</v>
      </c>
      <c r="D14" s="5" t="s">
        <v>20</v>
      </c>
      <c r="E14" s="5"/>
    </row>
    <row r="15" customFormat="false" ht="35.05" hidden="false" customHeight="false" outlineLevel="0" collapsed="false">
      <c r="B15" s="7" t="n">
        <v>13</v>
      </c>
      <c r="C15" s="8" t="s">
        <v>21</v>
      </c>
      <c r="D15" s="5" t="s">
        <v>20</v>
      </c>
      <c r="E15" s="5"/>
    </row>
    <row r="16" customFormat="false" ht="46.25" hidden="false" customHeight="false" outlineLevel="0" collapsed="false">
      <c r="B16" s="7" t="n">
        <v>14</v>
      </c>
      <c r="C16" s="8" t="s">
        <v>22</v>
      </c>
      <c r="D16" s="5" t="s">
        <v>20</v>
      </c>
      <c r="E16" s="5"/>
    </row>
    <row r="17" customFormat="false" ht="79.85" hidden="false" customHeight="false" outlineLevel="0" collapsed="false">
      <c r="B17" s="7" t="n">
        <v>15</v>
      </c>
      <c r="C17" s="8" t="s">
        <v>23</v>
      </c>
      <c r="D17" s="5" t="s">
        <v>24</v>
      </c>
      <c r="E17" s="5"/>
    </row>
    <row r="18" customFormat="false" ht="35.05" hidden="false" customHeight="false" outlineLevel="0" collapsed="false">
      <c r="B18" s="7" t="n">
        <v>16</v>
      </c>
      <c r="C18" s="8" t="s">
        <v>25</v>
      </c>
      <c r="D18" s="5" t="s">
        <v>24</v>
      </c>
      <c r="E18" s="5"/>
    </row>
    <row r="19" customFormat="false" ht="35.05" hidden="false" customHeight="false" outlineLevel="0" collapsed="false">
      <c r="B19" s="7" t="n">
        <v>17</v>
      </c>
      <c r="C19" s="8" t="s">
        <v>26</v>
      </c>
      <c r="D19" s="5" t="s">
        <v>27</v>
      </c>
      <c r="E19" s="5"/>
    </row>
    <row r="20" customFormat="false" ht="35.05" hidden="false" customHeight="false" outlineLevel="0" collapsed="false">
      <c r="B20" s="7" t="n">
        <v>18</v>
      </c>
      <c r="C20" s="8" t="s">
        <v>28</v>
      </c>
      <c r="D20" s="5" t="s">
        <v>27</v>
      </c>
      <c r="E20" s="5"/>
    </row>
    <row r="21" customFormat="false" ht="35.05" hidden="false" customHeight="false" outlineLevel="0" collapsed="false">
      <c r="B21" s="7" t="n">
        <v>19</v>
      </c>
      <c r="C21" s="8" t="s">
        <v>29</v>
      </c>
      <c r="D21" s="5" t="s">
        <v>27</v>
      </c>
      <c r="E21" s="5"/>
    </row>
    <row r="22" customFormat="false" ht="35.05" hidden="false" customHeight="false" outlineLevel="0" collapsed="false">
      <c r="B22" s="7" t="n">
        <v>20</v>
      </c>
      <c r="C22" s="8" t="s">
        <v>30</v>
      </c>
      <c r="D22" s="5" t="s">
        <v>27</v>
      </c>
      <c r="E22" s="5"/>
    </row>
  </sheetData>
  <printOptions headings="false" gridLines="false" gridLinesSet="true" horizontalCentered="false" verticalCentered="false"/>
  <pageMargins left="0.7875" right="0.7875" top="1.025" bottom="1.025" header="0.7875" footer="0.7875"/>
  <pageSetup paperSize="9" scale="100" firstPageNumber="1" fitToWidth="1" fitToHeight="1" pageOrder="downThenOver" orientation="portrait" blackAndWhite="false" draft="false" cellComments="none" useFirstPageNumber="true" horizontalDpi="300" verticalDpi="300" copies="1"/>
  <headerFooter differentFirst="false" differentOddEven="false">
    <oddHeader>&amp;C&amp;A</oddHeader>
    <oddFooter>&amp;CPágina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B2:E7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10" activeCellId="0" sqref="C10"/>
    </sheetView>
  </sheetViews>
  <sheetFormatPr defaultColWidth="11.53515625" defaultRowHeight="12.8" zeroHeight="false" outlineLevelRow="0" outlineLevelCol="0"/>
  <cols>
    <col collapsed="false" customWidth="false" hidden="false" outlineLevel="0" max="1" min="1" style="10" width="11.52"/>
    <col collapsed="false" customWidth="true" hidden="false" outlineLevel="0" max="2" min="2" style="11" width="5.49"/>
    <col collapsed="false" customWidth="true" hidden="false" outlineLevel="0" max="3" min="3" style="10" width="79.13"/>
    <col collapsed="false" customWidth="true" hidden="false" outlineLevel="0" max="4" min="4" style="11" width="13.52"/>
    <col collapsed="false" customWidth="true" hidden="false" outlineLevel="0" max="5" min="5" style="11" width="9.2"/>
    <col collapsed="false" customWidth="false" hidden="false" outlineLevel="0" max="1024" min="6" style="10" width="11.52"/>
  </cols>
  <sheetData>
    <row r="2" customFormat="false" ht="12.8" hidden="false" customHeight="false" outlineLevel="0" collapsed="false">
      <c r="B2" s="12" t="s">
        <v>0</v>
      </c>
      <c r="C2" s="13" t="s">
        <v>1</v>
      </c>
      <c r="D2" s="12" t="s">
        <v>2</v>
      </c>
      <c r="E2" s="12" t="s">
        <v>3</v>
      </c>
    </row>
    <row r="3" customFormat="false" ht="23.85" hidden="false" customHeight="false" outlineLevel="0" collapsed="false">
      <c r="B3" s="14" t="n">
        <v>1</v>
      </c>
      <c r="C3" s="8" t="s">
        <v>31</v>
      </c>
      <c r="D3" s="12" t="s">
        <v>5</v>
      </c>
      <c r="E3" s="12"/>
    </row>
    <row r="4" customFormat="false" ht="23.85" hidden="false" customHeight="false" outlineLevel="0" collapsed="false">
      <c r="B4" s="14" t="n">
        <v>2</v>
      </c>
      <c r="C4" s="8" t="s">
        <v>32</v>
      </c>
      <c r="D4" s="12" t="s">
        <v>9</v>
      </c>
      <c r="E4" s="12"/>
    </row>
    <row r="5" customFormat="false" ht="35.05" hidden="false" customHeight="false" outlineLevel="0" collapsed="false">
      <c r="B5" s="14" t="n">
        <v>3</v>
      </c>
      <c r="C5" s="8" t="s">
        <v>33</v>
      </c>
      <c r="D5" s="12" t="s">
        <v>5</v>
      </c>
      <c r="E5" s="12"/>
    </row>
    <row r="6" customFormat="false" ht="46.25" hidden="false" customHeight="false" outlineLevel="0" collapsed="false">
      <c r="B6" s="14" t="n">
        <v>5</v>
      </c>
      <c r="C6" s="8" t="s">
        <v>22</v>
      </c>
      <c r="D6" s="12" t="s">
        <v>20</v>
      </c>
      <c r="E6" s="12"/>
    </row>
    <row r="7" customFormat="false" ht="23.85" hidden="false" customHeight="false" outlineLevel="0" collapsed="false">
      <c r="B7" s="14" t="n">
        <v>6</v>
      </c>
      <c r="C7" s="8" t="s">
        <v>34</v>
      </c>
      <c r="D7" s="12" t="s">
        <v>24</v>
      </c>
      <c r="E7" s="12"/>
    </row>
  </sheetData>
  <printOptions headings="false" gridLines="false" gridLinesSet="true" horizontalCentered="false" verticalCentered="false"/>
  <pageMargins left="0.7875" right="0.7875" top="1.025" bottom="1.025" header="0.7875" footer="0.7875"/>
  <pageSetup paperSize="9" scale="100" firstPageNumber="1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&amp;C&amp;A</oddHeader>
    <oddFooter>&amp;CPágina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3:M1048576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4" topLeftCell="A5" activePane="bottomLeft" state="frozen"/>
      <selection pane="topLeft" activeCell="A1" activeCellId="0" sqref="A1"/>
      <selection pane="bottomLeft" activeCell="K13" activeCellId="0" sqref="K13"/>
    </sheetView>
  </sheetViews>
  <sheetFormatPr defaultColWidth="11.53515625" defaultRowHeight="17" zeroHeight="false" outlineLevelRow="0" outlineLevelCol="0"/>
  <cols>
    <col collapsed="false" customWidth="true" hidden="false" outlineLevel="0" max="2" min="2" style="0" width="18.76"/>
    <col collapsed="false" customWidth="true" hidden="false" outlineLevel="0" max="3" min="3" style="0" width="43.86"/>
    <col collapsed="false" customWidth="true" hidden="false" outlineLevel="0" max="4" min="4" style="0" width="12.13"/>
    <col collapsed="false" customWidth="true" hidden="false" outlineLevel="0" max="6" min="6" style="2" width="8.38"/>
  </cols>
  <sheetData>
    <row r="3" customFormat="false" ht="12.8" hidden="false" customHeight="false" outlineLevel="0" collapsed="false"/>
    <row r="4" customFormat="false" ht="23.85" hidden="false" customHeight="false" outlineLevel="0" collapsed="false">
      <c r="B4" s="15" t="s">
        <v>35</v>
      </c>
      <c r="C4" s="15" t="s">
        <v>36</v>
      </c>
      <c r="D4" s="16" t="s">
        <v>37</v>
      </c>
      <c r="E4" s="15" t="s">
        <v>38</v>
      </c>
      <c r="F4" s="15" t="s">
        <v>39</v>
      </c>
    </row>
    <row r="5" customFormat="false" ht="17" hidden="false" customHeight="true" outlineLevel="0" collapsed="false">
      <c r="B5" s="17" t="s">
        <v>40</v>
      </c>
      <c r="C5" s="18" t="s">
        <v>41</v>
      </c>
      <c r="D5" s="18" t="n">
        <f aca="false">D6+D7+D8+D9+D10</f>
        <v>100</v>
      </c>
      <c r="E5" s="18"/>
      <c r="F5" s="5" t="s">
        <v>42</v>
      </c>
    </row>
    <row r="6" customFormat="false" ht="17" hidden="false" customHeight="true" outlineLevel="0" collapsed="false">
      <c r="B6" s="19" t="s">
        <v>43</v>
      </c>
      <c r="C6" s="20" t="s">
        <v>44</v>
      </c>
      <c r="D6" s="20" t="n">
        <v>10</v>
      </c>
      <c r="E6" s="20" t="n">
        <v>1</v>
      </c>
      <c r="F6" s="5"/>
    </row>
    <row r="7" customFormat="false" ht="17" hidden="false" customHeight="true" outlineLevel="0" collapsed="false">
      <c r="B7" s="19" t="s">
        <v>45</v>
      </c>
      <c r="C7" s="20" t="s">
        <v>46</v>
      </c>
      <c r="D7" s="20" t="n">
        <v>20</v>
      </c>
      <c r="E7" s="20" t="n">
        <v>2</v>
      </c>
      <c r="F7" s="5"/>
    </row>
    <row r="8" customFormat="false" ht="17" hidden="false" customHeight="true" outlineLevel="0" collapsed="false">
      <c r="B8" s="19" t="s">
        <v>47</v>
      </c>
      <c r="C8" s="20" t="s">
        <v>48</v>
      </c>
      <c r="D8" s="20" t="n">
        <v>40</v>
      </c>
      <c r="E8" s="20" t="n">
        <v>3</v>
      </c>
      <c r="F8" s="5"/>
    </row>
    <row r="9" customFormat="false" ht="17" hidden="false" customHeight="true" outlineLevel="0" collapsed="false">
      <c r="B9" s="19" t="s">
        <v>49</v>
      </c>
      <c r="C9" s="20" t="s">
        <v>50</v>
      </c>
      <c r="D9" s="20" t="n">
        <v>10</v>
      </c>
      <c r="E9" s="20" t="n">
        <v>5</v>
      </c>
      <c r="F9" s="5"/>
    </row>
    <row r="10" customFormat="false" ht="17" hidden="false" customHeight="true" outlineLevel="0" collapsed="false">
      <c r="B10" s="19" t="s">
        <v>51</v>
      </c>
      <c r="C10" s="20" t="s">
        <v>52</v>
      </c>
      <c r="D10" s="20" t="n">
        <v>20</v>
      </c>
      <c r="E10" s="20" t="n">
        <v>4</v>
      </c>
      <c r="F10" s="5"/>
    </row>
    <row r="12" customFormat="false" ht="17" hidden="false" customHeight="true" outlineLevel="0" collapsed="false">
      <c r="B12" s="21" t="s">
        <v>53</v>
      </c>
      <c r="C12" s="21" t="s">
        <v>54</v>
      </c>
      <c r="D12" s="18" t="n">
        <f aca="false">D13+D14+D15+D16+D17</f>
        <v>140</v>
      </c>
      <c r="E12" s="21"/>
      <c r="F12" s="5" t="s">
        <v>55</v>
      </c>
    </row>
    <row r="13" customFormat="false" ht="17" hidden="false" customHeight="true" outlineLevel="0" collapsed="false">
      <c r="B13" s="19" t="s">
        <v>56</v>
      </c>
      <c r="C13" s="20" t="s">
        <v>57</v>
      </c>
      <c r="D13" s="20" t="n">
        <v>20</v>
      </c>
      <c r="E13" s="20" t="n">
        <v>1</v>
      </c>
      <c r="F13" s="5"/>
    </row>
    <row r="14" customFormat="false" ht="17" hidden="false" customHeight="true" outlineLevel="0" collapsed="false">
      <c r="B14" s="19" t="s">
        <v>58</v>
      </c>
      <c r="C14" s="20" t="s">
        <v>59</v>
      </c>
      <c r="D14" s="20" t="n">
        <v>20</v>
      </c>
      <c r="E14" s="20" t="n">
        <v>1</v>
      </c>
      <c r="F14" s="5"/>
    </row>
    <row r="15" customFormat="false" ht="17" hidden="false" customHeight="true" outlineLevel="0" collapsed="false">
      <c r="B15" s="19" t="s">
        <v>60</v>
      </c>
      <c r="C15" s="20" t="s">
        <v>61</v>
      </c>
      <c r="D15" s="20" t="n">
        <v>40</v>
      </c>
      <c r="E15" s="20" t="n">
        <v>2</v>
      </c>
      <c r="F15" s="5"/>
    </row>
    <row r="16" customFormat="false" ht="17" hidden="false" customHeight="true" outlineLevel="0" collapsed="false">
      <c r="B16" s="19" t="s">
        <v>62</v>
      </c>
      <c r="C16" s="20" t="s">
        <v>63</v>
      </c>
      <c r="D16" s="20" t="n">
        <v>60</v>
      </c>
      <c r="E16" s="20" t="n">
        <v>2</v>
      </c>
      <c r="F16" s="5"/>
    </row>
    <row r="24" customFormat="false" ht="17" hidden="false" customHeight="true" outlineLevel="0" collapsed="false">
      <c r="A24" s="22"/>
      <c r="M24" s="23"/>
    </row>
    <row r="1048576" customFormat="false" ht="12.8" hidden="false" customHeight="true" outlineLevel="0" collapsed="false"/>
  </sheetData>
  <mergeCells count="2">
    <mergeCell ref="F5:F10"/>
    <mergeCell ref="F12:F16"/>
  </mergeCells>
  <printOptions headings="false" gridLines="false" gridLinesSet="true" horizontalCentered="false" verticalCentered="false"/>
  <pageMargins left="0.7875" right="0.7875" top="1.025" bottom="1.025" header="0.7875" footer="0.7875"/>
  <pageSetup paperSize="9" scale="100" firstPageNumber="1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&amp;C&amp;A</oddHeader>
    <oddFooter>&amp;CPágina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B2:L48"/>
  <sheetViews>
    <sheetView showFormulas="false" showGridLines="false" showRowColHeaders="true" showZeros="true" rightToLeft="false" tabSelected="false" showOutlineSymbols="true" defaultGridColor="true" view="normal" topLeftCell="A31" colorId="64" zoomScale="100" zoomScaleNormal="100" zoomScalePageLayoutView="100" workbookViewId="0">
      <selection pane="topLeft" activeCell="G46" activeCellId="0" sqref="G46"/>
    </sheetView>
  </sheetViews>
  <sheetFormatPr defaultColWidth="11.53515625" defaultRowHeight="16.35" zeroHeight="false" outlineLevelRow="0" outlineLevelCol="0"/>
  <cols>
    <col collapsed="false" customWidth="false" hidden="false" outlineLevel="0" max="1" min="1" style="24" width="11.52"/>
    <col collapsed="false" customWidth="true" hidden="false" outlineLevel="0" max="2" min="2" style="24" width="35.61"/>
    <col collapsed="false" customWidth="false" hidden="false" outlineLevel="0" max="3" min="3" style="24" width="11.52"/>
    <col collapsed="false" customWidth="true" hidden="false" outlineLevel="0" max="4" min="4" style="24" width="6.98"/>
    <col collapsed="false" customWidth="false" hidden="false" outlineLevel="0" max="1024" min="5" style="24" width="11.52"/>
  </cols>
  <sheetData>
    <row r="2" customFormat="false" ht="23.4" hidden="false" customHeight="false" outlineLevel="0" collapsed="false">
      <c r="B2" s="25" t="s">
        <v>64</v>
      </c>
      <c r="C2" s="25"/>
      <c r="D2" s="25"/>
      <c r="E2" s="25"/>
      <c r="F2" s="25"/>
      <c r="G2" s="25"/>
      <c r="H2" s="25"/>
      <c r="I2" s="25"/>
      <c r="J2" s="25"/>
      <c r="K2" s="25"/>
      <c r="L2" s="25"/>
    </row>
    <row r="3" customFormat="false" ht="16.35" hidden="false" customHeight="false" outlineLevel="0" collapsed="false">
      <c r="B3" s="26" t="s">
        <v>65</v>
      </c>
      <c r="C3" s="26"/>
      <c r="L3" s="27"/>
    </row>
    <row r="4" customFormat="false" ht="16.35" hidden="false" customHeight="false" outlineLevel="0" collapsed="false">
      <c r="B4" s="28" t="s">
        <v>66</v>
      </c>
      <c r="C4" s="29" t="n">
        <v>44450</v>
      </c>
      <c r="L4" s="27"/>
    </row>
    <row r="5" customFormat="false" ht="16.35" hidden="false" customHeight="false" outlineLevel="0" collapsed="false">
      <c r="B5" s="30" t="s">
        <v>67</v>
      </c>
      <c r="C5" s="29" t="n">
        <v>44455</v>
      </c>
      <c r="L5" s="27"/>
    </row>
    <row r="6" customFormat="false" ht="16.35" hidden="false" customHeight="false" outlineLevel="0" collapsed="false">
      <c r="B6" s="28" t="s">
        <v>68</v>
      </c>
      <c r="C6" s="31" t="n">
        <f aca="false">_xlfn.DAYS(C5,C4)+1</f>
        <v>6</v>
      </c>
      <c r="L6" s="27"/>
    </row>
    <row r="7" customFormat="false" ht="16.35" hidden="false" customHeight="false" outlineLevel="0" collapsed="false">
      <c r="B7" s="30" t="s">
        <v>69</v>
      </c>
      <c r="C7" s="32" t="n">
        <f aca="false">8*C6</f>
        <v>48</v>
      </c>
      <c r="L7" s="27"/>
    </row>
    <row r="8" customFormat="false" ht="16.35" hidden="false" customHeight="false" outlineLevel="0" collapsed="false">
      <c r="B8" s="28" t="s">
        <v>70</v>
      </c>
      <c r="C8" s="33" t="n">
        <v>0.2</v>
      </c>
      <c r="L8" s="27"/>
    </row>
    <row r="9" customFormat="false" ht="16.35" hidden="false" customHeight="false" outlineLevel="0" collapsed="false">
      <c r="B9" s="30" t="s">
        <v>71</v>
      </c>
      <c r="C9" s="34" t="n">
        <v>5</v>
      </c>
      <c r="L9" s="27"/>
    </row>
    <row r="10" customFormat="false" ht="16.35" hidden="false" customHeight="false" outlineLevel="0" collapsed="false">
      <c r="B10" s="28" t="s">
        <v>72</v>
      </c>
      <c r="C10" s="35" t="n">
        <f aca="false">C7*C8*C9</f>
        <v>48</v>
      </c>
      <c r="L10" s="27"/>
    </row>
    <row r="11" customFormat="false" ht="16.35" hidden="false" customHeight="false" outlineLevel="0" collapsed="false">
      <c r="B11" s="30" t="s">
        <v>73</v>
      </c>
      <c r="C11" s="36" t="n">
        <f aca="false">C10/C6</f>
        <v>8</v>
      </c>
      <c r="L11" s="27"/>
    </row>
    <row r="12" customFormat="false" ht="16.35" hidden="false" customHeight="false" outlineLevel="0" collapsed="false">
      <c r="B12" s="28" t="s">
        <v>74</v>
      </c>
      <c r="C12" s="37" t="n">
        <f aca="false">IFERROR(C11/C9,0)</f>
        <v>1.6</v>
      </c>
      <c r="L12" s="27"/>
    </row>
    <row r="13" customFormat="false" ht="16.35" hidden="false" customHeight="false" outlineLevel="0" collapsed="false">
      <c r="B13" s="38"/>
      <c r="L13" s="27"/>
    </row>
    <row r="14" customFormat="false" ht="16.35" hidden="false" customHeight="false" outlineLevel="0" collapsed="false">
      <c r="B14" s="39" t="s">
        <v>75</v>
      </c>
      <c r="C14" s="39"/>
      <c r="D14" s="39"/>
      <c r="L14" s="27"/>
    </row>
    <row r="15" customFormat="false" ht="16.35" hidden="false" customHeight="false" outlineLevel="0" collapsed="false">
      <c r="B15" s="40" t="s">
        <v>76</v>
      </c>
      <c r="C15" s="40" t="s">
        <v>77</v>
      </c>
      <c r="D15" s="40" t="s">
        <v>78</v>
      </c>
      <c r="L15" s="27"/>
    </row>
    <row r="16" customFormat="false" ht="16.35" hidden="false" customHeight="false" outlineLevel="0" collapsed="false">
      <c r="B16" s="41" t="n">
        <v>44450</v>
      </c>
      <c r="C16" s="42" t="n">
        <f aca="false">Backlog!D5</f>
        <v>100</v>
      </c>
      <c r="D16" s="43" t="n">
        <f aca="false">C16</f>
        <v>100</v>
      </c>
      <c r="L16" s="27"/>
    </row>
    <row r="17" customFormat="false" ht="16.35" hidden="false" customHeight="false" outlineLevel="0" collapsed="false">
      <c r="B17" s="41" t="n">
        <v>44451</v>
      </c>
      <c r="C17" s="44" t="n">
        <f aca="false">C16-($C$16/(($C$6)-1))</f>
        <v>80</v>
      </c>
      <c r="D17" s="43" t="n">
        <v>90</v>
      </c>
      <c r="L17" s="27"/>
    </row>
    <row r="18" customFormat="false" ht="16.35" hidden="false" customHeight="false" outlineLevel="0" collapsed="false">
      <c r="B18" s="41" t="n">
        <v>44452</v>
      </c>
      <c r="C18" s="44" t="n">
        <f aca="false">C17-($C$16/(($C$6)-1))</f>
        <v>60</v>
      </c>
      <c r="D18" s="43" t="n">
        <v>70</v>
      </c>
      <c r="L18" s="27"/>
    </row>
    <row r="19" customFormat="false" ht="16.35" hidden="false" customHeight="false" outlineLevel="0" collapsed="false">
      <c r="B19" s="41" t="n">
        <v>44453</v>
      </c>
      <c r="C19" s="44" t="n">
        <f aca="false">C18-($C$16/(($C$6)-1))</f>
        <v>40</v>
      </c>
      <c r="D19" s="43" t="n">
        <v>52</v>
      </c>
      <c r="L19" s="27"/>
    </row>
    <row r="20" customFormat="false" ht="16.35" hidden="false" customHeight="false" outlineLevel="0" collapsed="false">
      <c r="B20" s="41" t="n">
        <v>44454</v>
      </c>
      <c r="C20" s="44" t="n">
        <f aca="false">C19-($C$16/(($C$6)-1))</f>
        <v>20</v>
      </c>
      <c r="D20" s="43" t="n">
        <v>42</v>
      </c>
      <c r="L20" s="27"/>
    </row>
    <row r="21" customFormat="false" ht="16.35" hidden="false" customHeight="false" outlineLevel="0" collapsed="false">
      <c r="B21" s="41" t="n">
        <v>44455</v>
      </c>
      <c r="C21" s="44" t="n">
        <f aca="false">C20-($C$16/(($C$6)-1))</f>
        <v>0</v>
      </c>
      <c r="D21" s="43" t="n">
        <v>32</v>
      </c>
      <c r="E21" s="45"/>
      <c r="F21" s="45"/>
      <c r="G21" s="45"/>
      <c r="H21" s="45"/>
      <c r="I21" s="45"/>
      <c r="J21" s="45"/>
      <c r="K21" s="45"/>
      <c r="L21" s="46"/>
    </row>
    <row r="22" customFormat="false" ht="16.35" hidden="false" customHeight="false" outlineLevel="0" collapsed="false">
      <c r="B22" s="47"/>
      <c r="C22" s="48"/>
      <c r="D22" s="49"/>
    </row>
    <row r="23" customFormat="false" ht="16.35" hidden="false" customHeight="false" outlineLevel="0" collapsed="false">
      <c r="B23" s="47"/>
      <c r="C23" s="48"/>
      <c r="D23" s="49"/>
    </row>
    <row r="24" customFormat="false" ht="16.35" hidden="false" customHeight="false" outlineLevel="0" collapsed="false">
      <c r="B24" s="47"/>
      <c r="C24" s="48"/>
      <c r="D24" s="49"/>
    </row>
    <row r="25" customFormat="false" ht="23.4" hidden="false" customHeight="false" outlineLevel="0" collapsed="false">
      <c r="B25" s="50" t="s">
        <v>79</v>
      </c>
      <c r="C25" s="50"/>
      <c r="D25" s="50" t="s">
        <v>80</v>
      </c>
      <c r="E25" s="50" t="s">
        <v>81</v>
      </c>
      <c r="F25" s="50"/>
      <c r="G25" s="50"/>
      <c r="H25" s="50"/>
      <c r="I25" s="50"/>
      <c r="J25" s="50"/>
      <c r="K25" s="50"/>
      <c r="L25" s="50"/>
    </row>
    <row r="26" customFormat="false" ht="16.35" hidden="false" customHeight="false" outlineLevel="0" collapsed="false">
      <c r="B26" s="51"/>
      <c r="C26" s="52"/>
      <c r="D26" s="53"/>
      <c r="E26" s="54"/>
      <c r="F26" s="55"/>
      <c r="G26" s="55"/>
      <c r="H26" s="55"/>
      <c r="I26" s="55"/>
      <c r="J26" s="55"/>
      <c r="K26" s="55"/>
      <c r="L26" s="56"/>
    </row>
    <row r="27" customFormat="false" ht="16.35" hidden="false" customHeight="false" outlineLevel="0" collapsed="false">
      <c r="B27" s="26" t="s">
        <v>82</v>
      </c>
      <c r="C27" s="26"/>
      <c r="L27" s="27"/>
    </row>
    <row r="28" customFormat="false" ht="16.35" hidden="false" customHeight="false" outlineLevel="0" collapsed="false">
      <c r="B28" s="28" t="s">
        <v>66</v>
      </c>
      <c r="C28" s="29" t="n">
        <v>44459</v>
      </c>
      <c r="L28" s="27"/>
    </row>
    <row r="29" customFormat="false" ht="16.35" hidden="false" customHeight="false" outlineLevel="0" collapsed="false">
      <c r="B29" s="30" t="s">
        <v>67</v>
      </c>
      <c r="C29" s="29" t="n">
        <v>44465</v>
      </c>
      <c r="L29" s="27"/>
    </row>
    <row r="30" customFormat="false" ht="16.35" hidden="false" customHeight="false" outlineLevel="0" collapsed="false">
      <c r="B30" s="28" t="s">
        <v>68</v>
      </c>
      <c r="C30" s="35" t="n">
        <f aca="false">_xlfn.DAYS(C29,C28)+1</f>
        <v>7</v>
      </c>
      <c r="L30" s="27"/>
    </row>
    <row r="31" customFormat="false" ht="16.35" hidden="false" customHeight="false" outlineLevel="0" collapsed="false">
      <c r="B31" s="30" t="s">
        <v>69</v>
      </c>
      <c r="C31" s="32" t="n">
        <f aca="false">8*C30</f>
        <v>56</v>
      </c>
      <c r="L31" s="27"/>
    </row>
    <row r="32" customFormat="false" ht="16.35" hidden="false" customHeight="false" outlineLevel="0" collapsed="false">
      <c r="B32" s="28" t="s">
        <v>70</v>
      </c>
      <c r="C32" s="33" t="n">
        <v>0.2</v>
      </c>
      <c r="L32" s="27"/>
    </row>
    <row r="33" customFormat="false" ht="16.35" hidden="false" customHeight="false" outlineLevel="0" collapsed="false">
      <c r="B33" s="30" t="s">
        <v>71</v>
      </c>
      <c r="C33" s="34" t="n">
        <v>5</v>
      </c>
      <c r="L33" s="27"/>
    </row>
    <row r="34" customFormat="false" ht="16.35" hidden="false" customHeight="false" outlineLevel="0" collapsed="false">
      <c r="B34" s="28" t="s">
        <v>72</v>
      </c>
      <c r="C34" s="35" t="n">
        <f aca="false">C31*C32*C33</f>
        <v>56</v>
      </c>
      <c r="L34" s="27"/>
    </row>
    <row r="35" customFormat="false" ht="16.35" hidden="false" customHeight="false" outlineLevel="0" collapsed="false">
      <c r="B35" s="30" t="s">
        <v>73</v>
      </c>
      <c r="C35" s="36" t="n">
        <f aca="false">C34/C30</f>
        <v>8</v>
      </c>
      <c r="L35" s="27"/>
    </row>
    <row r="36" customFormat="false" ht="16.35" hidden="false" customHeight="false" outlineLevel="0" collapsed="false">
      <c r="B36" s="28" t="s">
        <v>74</v>
      </c>
      <c r="C36" s="37" t="n">
        <f aca="false">IFERROR(C35/C33,0)</f>
        <v>1.6</v>
      </c>
      <c r="L36" s="27"/>
    </row>
    <row r="37" customFormat="false" ht="16.35" hidden="false" customHeight="false" outlineLevel="0" collapsed="false">
      <c r="B37" s="38"/>
      <c r="L37" s="27"/>
    </row>
    <row r="38" customFormat="false" ht="16.35" hidden="false" customHeight="false" outlineLevel="0" collapsed="false">
      <c r="B38" s="38"/>
      <c r="L38" s="27"/>
    </row>
    <row r="39" customFormat="false" ht="16.35" hidden="false" customHeight="false" outlineLevel="0" collapsed="false">
      <c r="B39" s="38"/>
      <c r="L39" s="27"/>
    </row>
    <row r="40" customFormat="false" ht="16.35" hidden="false" customHeight="false" outlineLevel="0" collapsed="false">
      <c r="B40" s="39" t="s">
        <v>75</v>
      </c>
      <c r="C40" s="39"/>
      <c r="D40" s="39"/>
      <c r="L40" s="27"/>
    </row>
    <row r="41" customFormat="false" ht="16.35" hidden="false" customHeight="false" outlineLevel="0" collapsed="false">
      <c r="B41" s="40" t="s">
        <v>76</v>
      </c>
      <c r="C41" s="40" t="s">
        <v>77</v>
      </c>
      <c r="D41" s="40" t="s">
        <v>78</v>
      </c>
      <c r="L41" s="27"/>
    </row>
    <row r="42" customFormat="false" ht="16.35" hidden="false" customHeight="false" outlineLevel="0" collapsed="false">
      <c r="B42" s="41" t="n">
        <v>44459</v>
      </c>
      <c r="C42" s="42" t="n">
        <f aca="false">Backlog!D12</f>
        <v>140</v>
      </c>
      <c r="D42" s="43" t="n">
        <f aca="false">C42</f>
        <v>140</v>
      </c>
      <c r="L42" s="27"/>
    </row>
    <row r="43" customFormat="false" ht="16.35" hidden="false" customHeight="false" outlineLevel="0" collapsed="false">
      <c r="B43" s="41" t="n">
        <v>44460</v>
      </c>
      <c r="C43" s="44" t="n">
        <f aca="false">C42-($C$42/(($C$30)-1))</f>
        <v>116.666666666667</v>
      </c>
      <c r="D43" s="43" t="n">
        <v>120</v>
      </c>
      <c r="L43" s="27"/>
    </row>
    <row r="44" customFormat="false" ht="16.35" hidden="false" customHeight="false" outlineLevel="0" collapsed="false">
      <c r="B44" s="41" t="n">
        <v>44461</v>
      </c>
      <c r="C44" s="44" t="n">
        <f aca="false">C43-($C$42/(($C$30)-1))</f>
        <v>93.3333333333333</v>
      </c>
      <c r="D44" s="43" t="n">
        <v>100</v>
      </c>
      <c r="L44" s="27"/>
    </row>
    <row r="45" customFormat="false" ht="16.35" hidden="false" customHeight="false" outlineLevel="0" collapsed="false">
      <c r="B45" s="41" t="n">
        <v>44462</v>
      </c>
      <c r="C45" s="44" t="n">
        <f aca="false">C44-($C$42/(($C$30)-1))</f>
        <v>70</v>
      </c>
      <c r="D45" s="43" t="n">
        <v>70</v>
      </c>
      <c r="L45" s="27"/>
    </row>
    <row r="46" customFormat="false" ht="16.35" hidden="false" customHeight="false" outlineLevel="0" collapsed="false">
      <c r="B46" s="41" t="n">
        <v>44463</v>
      </c>
      <c r="C46" s="44" t="n">
        <f aca="false">C45-($C$42/(($C$30)-1))</f>
        <v>46.6666666666667</v>
      </c>
      <c r="D46" s="43"/>
      <c r="L46" s="27"/>
    </row>
    <row r="47" customFormat="false" ht="16.35" hidden="false" customHeight="false" outlineLevel="0" collapsed="false">
      <c r="B47" s="41" t="n">
        <v>44464</v>
      </c>
      <c r="C47" s="44" t="n">
        <f aca="false">C46-($C$42/(($C$30)-1))</f>
        <v>23.3333333333334</v>
      </c>
      <c r="D47" s="43"/>
      <c r="L47" s="27"/>
    </row>
    <row r="48" customFormat="false" ht="16.35" hidden="false" customHeight="false" outlineLevel="0" collapsed="false">
      <c r="B48" s="41" t="n">
        <v>44465</v>
      </c>
      <c r="C48" s="44" t="n">
        <f aca="false">C47-($C$42/(($C$30)-1))</f>
        <v>0</v>
      </c>
      <c r="D48" s="43"/>
      <c r="E48" s="45"/>
      <c r="F48" s="45"/>
      <c r="G48" s="45"/>
      <c r="H48" s="45"/>
      <c r="I48" s="45"/>
      <c r="J48" s="45"/>
      <c r="K48" s="45"/>
      <c r="L48" s="46"/>
    </row>
  </sheetData>
  <sheetProtection sheet="true" objects="true" scenarios="true"/>
  <mergeCells count="6">
    <mergeCell ref="B2:L2"/>
    <mergeCell ref="B3:C3"/>
    <mergeCell ref="B14:D14"/>
    <mergeCell ref="B25:L25"/>
    <mergeCell ref="B27:C27"/>
    <mergeCell ref="B40:D40"/>
  </mergeCells>
  <printOptions headings="false" gridLines="false" gridLinesSet="true" horizontalCentered="false" verticalCentered="false"/>
  <pageMargins left="0.7875" right="0.7875" top="1.025" bottom="1.025" header="0.7875" footer="0.7875"/>
  <pageSetup paperSize="9" scale="100" firstPageNumber="1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&amp;C&amp;A</oddHeader>
    <oddFooter>&amp;CPágina &amp;P</oddFooter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2:AR33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pane xSplit="0" ySplit="6" topLeftCell="A7" activePane="bottomLeft" state="frozen"/>
      <selection pane="topLeft" activeCell="A1" activeCellId="0" sqref="A1"/>
      <selection pane="bottomLeft" activeCell="G33" activeCellId="0" sqref="G33"/>
    </sheetView>
  </sheetViews>
  <sheetFormatPr defaultColWidth="11.53515625" defaultRowHeight="17" zeroHeight="false" outlineLevelRow="0" outlineLevelCol="0"/>
  <cols>
    <col collapsed="false" customWidth="true" hidden="false" outlineLevel="0" max="1" min="1" style="57" width="15.31"/>
    <col collapsed="false" customWidth="true" hidden="false" outlineLevel="0" max="2" min="2" style="57" width="15.33"/>
    <col collapsed="false" customWidth="true" hidden="false" outlineLevel="0" max="5" min="3" style="57" width="12.75"/>
    <col collapsed="false" customWidth="true" hidden="false" outlineLevel="0" max="6" min="6" style="2" width="4.09"/>
    <col collapsed="false" customWidth="true" hidden="false" outlineLevel="0" max="44" min="7" style="57" width="4.09"/>
    <col collapsed="false" customWidth="false" hidden="false" outlineLevel="0" max="1024" min="45" style="57" width="11.52"/>
  </cols>
  <sheetData>
    <row r="2" customFormat="false" ht="17" hidden="false" customHeight="true" outlineLevel="0" collapsed="false">
      <c r="F2" s="2" t="s">
        <v>83</v>
      </c>
    </row>
    <row r="4" customFormat="false" ht="25.5" hidden="false" customHeight="true" outlineLevel="0" collapsed="false">
      <c r="D4" s="2" t="n">
        <v>0</v>
      </c>
      <c r="E4" s="58" t="n">
        <f aca="false">D5+D4</f>
        <v>44450</v>
      </c>
      <c r="F4" s="59"/>
      <c r="G4" s="60"/>
      <c r="H4" s="60"/>
      <c r="I4" s="61" t="n">
        <f aca="false">I5</f>
        <v>44450</v>
      </c>
      <c r="J4" s="61"/>
      <c r="K4" s="61"/>
      <c r="L4" s="61"/>
      <c r="M4" s="61"/>
      <c r="N4" s="61"/>
      <c r="O4" s="61"/>
      <c r="P4" s="61" t="n">
        <f aca="false">P5</f>
        <v>44457</v>
      </c>
      <c r="Q4" s="61"/>
      <c r="R4" s="61"/>
      <c r="S4" s="61"/>
      <c r="T4" s="61"/>
      <c r="U4" s="61"/>
      <c r="V4" s="61"/>
      <c r="W4" s="61" t="n">
        <f aca="false">W5</f>
        <v>44464</v>
      </c>
      <c r="X4" s="61"/>
      <c r="Y4" s="61"/>
      <c r="Z4" s="61"/>
      <c r="AA4" s="61"/>
      <c r="AB4" s="61"/>
      <c r="AC4" s="61"/>
      <c r="AD4" s="61" t="n">
        <f aca="false">AD5</f>
        <v>44471</v>
      </c>
      <c r="AE4" s="61" t="n">
        <f aca="false">AE5</f>
        <v>44472</v>
      </c>
      <c r="AF4" s="61" t="n">
        <f aca="false">AF5</f>
        <v>44473</v>
      </c>
      <c r="AG4" s="61" t="n">
        <f aca="false">AG5</f>
        <v>44474</v>
      </c>
      <c r="AH4" s="61" t="n">
        <f aca="false">AH5</f>
        <v>44475</v>
      </c>
      <c r="AI4" s="61" t="n">
        <f aca="false">AI5</f>
        <v>44476</v>
      </c>
      <c r="AJ4" s="61" t="n">
        <f aca="false">AJ5</f>
        <v>44477</v>
      </c>
      <c r="AK4" s="61" t="n">
        <f aca="false">AK5</f>
        <v>44478</v>
      </c>
      <c r="AL4" s="61" t="n">
        <f aca="false">AL5</f>
        <v>44479</v>
      </c>
      <c r="AM4" s="61" t="n">
        <f aca="false">AM5</f>
        <v>44480</v>
      </c>
      <c r="AN4" s="61" t="n">
        <f aca="false">AN5</f>
        <v>44481</v>
      </c>
      <c r="AO4" s="61" t="n">
        <f aca="false">AO5</f>
        <v>44482</v>
      </c>
      <c r="AP4" s="61" t="n">
        <f aca="false">AP5</f>
        <v>44483</v>
      </c>
      <c r="AQ4" s="61" t="n">
        <f aca="false">AQ5</f>
        <v>44484</v>
      </c>
      <c r="AR4" s="61"/>
    </row>
    <row r="5" customFormat="false" ht="17" hidden="false" customHeight="true" outlineLevel="0" collapsed="false">
      <c r="B5" s="62"/>
      <c r="C5" s="63" t="s">
        <v>84</v>
      </c>
      <c r="D5" s="64" t="n">
        <v>44450</v>
      </c>
      <c r="E5" s="64"/>
      <c r="F5" s="65"/>
      <c r="G5" s="66"/>
      <c r="H5" s="66"/>
      <c r="I5" s="67" t="n">
        <f aca="false">E4</f>
        <v>44450</v>
      </c>
      <c r="J5" s="68" t="n">
        <f aca="false">I5+1</f>
        <v>44451</v>
      </c>
      <c r="K5" s="68" t="n">
        <f aca="false">J5+1</f>
        <v>44452</v>
      </c>
      <c r="L5" s="68" t="n">
        <f aca="false">K5+1</f>
        <v>44453</v>
      </c>
      <c r="M5" s="68" t="n">
        <f aca="false">L5+1</f>
        <v>44454</v>
      </c>
      <c r="N5" s="68" t="n">
        <f aca="false">M5+1</f>
        <v>44455</v>
      </c>
      <c r="O5" s="69" t="n">
        <f aca="false">N5+1</f>
        <v>44456</v>
      </c>
      <c r="P5" s="67" t="n">
        <f aca="false">O5+1</f>
        <v>44457</v>
      </c>
      <c r="Q5" s="68" t="n">
        <f aca="false">P5+1</f>
        <v>44458</v>
      </c>
      <c r="R5" s="68" t="n">
        <f aca="false">Q5+1</f>
        <v>44459</v>
      </c>
      <c r="S5" s="68" t="n">
        <f aca="false">R5+1</f>
        <v>44460</v>
      </c>
      <c r="T5" s="68" t="n">
        <f aca="false">S5+1</f>
        <v>44461</v>
      </c>
      <c r="U5" s="68" t="n">
        <f aca="false">T5+1</f>
        <v>44462</v>
      </c>
      <c r="V5" s="69" t="n">
        <f aca="false">U5+1</f>
        <v>44463</v>
      </c>
      <c r="W5" s="67" t="n">
        <f aca="false">V5+1</f>
        <v>44464</v>
      </c>
      <c r="X5" s="68" t="n">
        <f aca="false">W5+1</f>
        <v>44465</v>
      </c>
      <c r="Y5" s="68" t="n">
        <f aca="false">X5+1</f>
        <v>44466</v>
      </c>
      <c r="Z5" s="68" t="n">
        <f aca="false">Y5+1</f>
        <v>44467</v>
      </c>
      <c r="AA5" s="68" t="n">
        <f aca="false">Z5+1</f>
        <v>44468</v>
      </c>
      <c r="AB5" s="68" t="n">
        <f aca="false">AA5+1</f>
        <v>44469</v>
      </c>
      <c r="AC5" s="69" t="n">
        <f aca="false">AB5+1</f>
        <v>44470</v>
      </c>
      <c r="AD5" s="67" t="n">
        <f aca="false">AC5+1</f>
        <v>44471</v>
      </c>
      <c r="AE5" s="68" t="n">
        <f aca="false">AD5+1</f>
        <v>44472</v>
      </c>
      <c r="AF5" s="68" t="n">
        <f aca="false">AE5+1</f>
        <v>44473</v>
      </c>
      <c r="AG5" s="68" t="n">
        <f aca="false">AF5+1</f>
        <v>44474</v>
      </c>
      <c r="AH5" s="68" t="n">
        <f aca="false">AG5+1</f>
        <v>44475</v>
      </c>
      <c r="AI5" s="68" t="n">
        <f aca="false">AH5+1</f>
        <v>44476</v>
      </c>
      <c r="AJ5" s="69" t="n">
        <f aca="false">AI5+1</f>
        <v>44477</v>
      </c>
      <c r="AK5" s="67" t="n">
        <f aca="false">AJ5+1</f>
        <v>44478</v>
      </c>
      <c r="AL5" s="68" t="n">
        <f aca="false">AK5+1</f>
        <v>44479</v>
      </c>
      <c r="AM5" s="68" t="n">
        <f aca="false">AL5+1</f>
        <v>44480</v>
      </c>
      <c r="AN5" s="68" t="n">
        <f aca="false">AM5+1</f>
        <v>44481</v>
      </c>
      <c r="AO5" s="68" t="n">
        <f aca="false">AN5+1</f>
        <v>44482</v>
      </c>
      <c r="AP5" s="68" t="n">
        <f aca="false">AO5+1</f>
        <v>44483</v>
      </c>
      <c r="AQ5" s="69" t="n">
        <f aca="false">AP5+1</f>
        <v>44484</v>
      </c>
      <c r="AR5" s="69" t="n">
        <f aca="false">AQ5+1</f>
        <v>44485</v>
      </c>
    </row>
    <row r="6" customFormat="false" ht="17" hidden="false" customHeight="true" outlineLevel="0" collapsed="false">
      <c r="A6" s="70" t="s">
        <v>85</v>
      </c>
      <c r="B6" s="70" t="s">
        <v>86</v>
      </c>
      <c r="C6" s="70" t="s">
        <v>87</v>
      </c>
      <c r="D6" s="70" t="s">
        <v>88</v>
      </c>
      <c r="E6" s="70" t="s">
        <v>89</v>
      </c>
      <c r="F6" s="70" t="s">
        <v>90</v>
      </c>
      <c r="G6" s="70" t="s">
        <v>91</v>
      </c>
      <c r="H6" s="70"/>
      <c r="I6" s="71" t="str">
        <f aca="false">UPPER(LEFT(TEXT(I5,"DDD")))</f>
        <v>S</v>
      </c>
      <c r="J6" s="71" t="str">
        <f aca="false">UPPER(LEFT(TEXT(J5,"DDD")))</f>
        <v>D</v>
      </c>
      <c r="K6" s="71" t="str">
        <f aca="false">UPPER(LEFT(TEXT(K5,"DDD")))</f>
        <v>L</v>
      </c>
      <c r="L6" s="71" t="str">
        <f aca="false">UPPER(LEFT(TEXT(L5,"DDD")))</f>
        <v>M</v>
      </c>
      <c r="M6" s="71" t="str">
        <f aca="false">UPPER(LEFT(TEXT(M5,"DDD")))</f>
        <v>M</v>
      </c>
      <c r="N6" s="71" t="str">
        <f aca="false">UPPER(LEFT(TEXT(N5,"DDD")))</f>
        <v>J</v>
      </c>
      <c r="O6" s="71" t="str">
        <f aca="false">UPPER(LEFT(TEXT(O5,"DDD")))</f>
        <v>V</v>
      </c>
      <c r="P6" s="71" t="str">
        <f aca="false">UPPER(LEFT(TEXT(P5,"DDD")))</f>
        <v>S</v>
      </c>
      <c r="Q6" s="71" t="str">
        <f aca="false">UPPER(LEFT(TEXT(Q5,"DDD")))</f>
        <v>D</v>
      </c>
      <c r="R6" s="71" t="str">
        <f aca="false">UPPER(LEFT(TEXT(R5,"DDD")))</f>
        <v>L</v>
      </c>
      <c r="S6" s="71" t="str">
        <f aca="false">UPPER(LEFT(TEXT(S5,"DDD")))</f>
        <v>M</v>
      </c>
      <c r="T6" s="71" t="str">
        <f aca="false">UPPER(LEFT(TEXT(T5,"DDD")))</f>
        <v>M</v>
      </c>
      <c r="U6" s="71" t="str">
        <f aca="false">UPPER(LEFT(TEXT(U5,"DDD")))</f>
        <v>J</v>
      </c>
      <c r="V6" s="71" t="str">
        <f aca="false">UPPER(LEFT(TEXT(V5,"DDD")))</f>
        <v>V</v>
      </c>
      <c r="W6" s="71" t="str">
        <f aca="false">UPPER(LEFT(TEXT(W5,"DDD")))</f>
        <v>S</v>
      </c>
      <c r="X6" s="71" t="str">
        <f aca="false">UPPER(LEFT(TEXT(X5,"DDD")))</f>
        <v>D</v>
      </c>
      <c r="Y6" s="71" t="str">
        <f aca="false">UPPER(LEFT(TEXT(Y5,"DDD")))</f>
        <v>L</v>
      </c>
      <c r="Z6" s="71" t="str">
        <f aca="false">UPPER(LEFT(TEXT(Z5,"DDD")))</f>
        <v>M</v>
      </c>
      <c r="AA6" s="71" t="str">
        <f aca="false">UPPER(LEFT(TEXT(AA5,"DDD")))</f>
        <v>M</v>
      </c>
      <c r="AB6" s="71" t="str">
        <f aca="false">UPPER(LEFT(TEXT(AB5,"DDD")))</f>
        <v>J</v>
      </c>
      <c r="AC6" s="71" t="str">
        <f aca="false">UPPER(LEFT(TEXT(AC5,"DDD")))</f>
        <v>V</v>
      </c>
      <c r="AD6" s="71" t="str">
        <f aca="false">UPPER(LEFT(TEXT(AD5,"DDD")))</f>
        <v>S</v>
      </c>
      <c r="AE6" s="71" t="str">
        <f aca="false">UPPER(LEFT(TEXT(AE5,"DDD")))</f>
        <v>D</v>
      </c>
      <c r="AF6" s="71" t="str">
        <f aca="false">UPPER(LEFT(TEXT(AF5,"DDD")))</f>
        <v>L</v>
      </c>
      <c r="AG6" s="71" t="str">
        <f aca="false">UPPER(LEFT(TEXT(AG5,"DDD")))</f>
        <v>M</v>
      </c>
      <c r="AH6" s="71" t="str">
        <f aca="false">UPPER(LEFT(TEXT(AH5,"DDD")))</f>
        <v>M</v>
      </c>
      <c r="AI6" s="71" t="str">
        <f aca="false">UPPER(LEFT(TEXT(AI5,"DDD")))</f>
        <v>J</v>
      </c>
      <c r="AJ6" s="71" t="str">
        <f aca="false">UPPER(LEFT(TEXT(AJ5,"DDD")))</f>
        <v>V</v>
      </c>
      <c r="AK6" s="71" t="str">
        <f aca="false">UPPER(LEFT(TEXT(AK5,"DDD")))</f>
        <v>S</v>
      </c>
      <c r="AL6" s="71" t="str">
        <f aca="false">UPPER(LEFT(TEXT(AL5,"DDD")))</f>
        <v>D</v>
      </c>
      <c r="AM6" s="71" t="str">
        <f aca="false">UPPER(LEFT(TEXT(AM5,"DDD")))</f>
        <v>L</v>
      </c>
      <c r="AN6" s="71" t="str">
        <f aca="false">UPPER(LEFT(TEXT(AN5,"DDD")))</f>
        <v>M</v>
      </c>
      <c r="AO6" s="71" t="str">
        <f aca="false">UPPER(LEFT(TEXT(AO5,"DDD")))</f>
        <v>M</v>
      </c>
      <c r="AP6" s="71" t="str">
        <f aca="false">UPPER(LEFT(TEXT(AP5,"DDD")))</f>
        <v>J</v>
      </c>
      <c r="AQ6" s="71" t="str">
        <f aca="false">UPPER(LEFT(TEXT(AQ5,"DDD")))</f>
        <v>V</v>
      </c>
      <c r="AR6" s="71" t="str">
        <f aca="false">UPPER(LEFT(TEXT(AR5,"DDD")))</f>
        <v>S</v>
      </c>
    </row>
    <row r="7" s="76" customFormat="true" ht="17" hidden="false" customHeight="true" outlineLevel="0" collapsed="false">
      <c r="A7" s="72" t="s">
        <v>92</v>
      </c>
      <c r="B7" s="72"/>
      <c r="C7" s="73" t="n">
        <f aca="false">(C8+C15+C21+C28)/4</f>
        <v>0.41875</v>
      </c>
      <c r="D7" s="74" t="n">
        <v>44450</v>
      </c>
      <c r="E7" s="74" t="n">
        <v>44485</v>
      </c>
      <c r="F7" s="75"/>
      <c r="G7" s="72"/>
      <c r="H7" s="72"/>
      <c r="I7" s="72"/>
      <c r="J7" s="72"/>
      <c r="K7" s="72"/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2"/>
      <c r="AA7" s="72"/>
      <c r="AB7" s="72"/>
      <c r="AC7" s="72"/>
      <c r="AD7" s="72"/>
      <c r="AE7" s="72"/>
      <c r="AF7" s="72"/>
      <c r="AG7" s="72"/>
      <c r="AH7" s="72"/>
      <c r="AI7" s="72"/>
      <c r="AJ7" s="72"/>
      <c r="AK7" s="72"/>
      <c r="AL7" s="72"/>
      <c r="AM7" s="72"/>
      <c r="AN7" s="72"/>
      <c r="AO7" s="72"/>
      <c r="AP7" s="72"/>
      <c r="AQ7" s="72"/>
      <c r="AR7" s="72"/>
    </row>
    <row r="8" s="76" customFormat="true" ht="17" hidden="false" customHeight="true" outlineLevel="0" collapsed="false">
      <c r="A8" s="72" t="s">
        <v>40</v>
      </c>
      <c r="B8" s="72"/>
      <c r="C8" s="73" t="n">
        <v>1</v>
      </c>
      <c r="D8" s="74" t="n">
        <v>44450</v>
      </c>
      <c r="E8" s="74" t="n">
        <v>44458</v>
      </c>
      <c r="F8" s="77" t="n">
        <f aca="false">Backlog!D5</f>
        <v>100</v>
      </c>
      <c r="G8" s="72" t="n">
        <f aca="false">C8*F8</f>
        <v>100</v>
      </c>
      <c r="H8" s="72"/>
      <c r="I8" s="72"/>
      <c r="J8" s="72"/>
      <c r="K8" s="72"/>
      <c r="L8" s="72"/>
      <c r="M8" s="72"/>
      <c r="N8" s="72"/>
      <c r="O8" s="72"/>
      <c r="P8" s="72"/>
      <c r="Q8" s="72"/>
      <c r="R8" s="72"/>
      <c r="S8" s="72"/>
      <c r="T8" s="72"/>
      <c r="U8" s="72"/>
      <c r="V8" s="72"/>
      <c r="W8" s="72"/>
      <c r="X8" s="72"/>
      <c r="Y8" s="72"/>
      <c r="Z8" s="72"/>
      <c r="AA8" s="72"/>
      <c r="AB8" s="72"/>
      <c r="AC8" s="72"/>
      <c r="AD8" s="72"/>
      <c r="AE8" s="72"/>
      <c r="AF8" s="72"/>
      <c r="AG8" s="72"/>
      <c r="AH8" s="72"/>
      <c r="AI8" s="72"/>
      <c r="AJ8" s="72"/>
      <c r="AK8" s="72"/>
      <c r="AL8" s="72"/>
      <c r="AM8" s="78"/>
      <c r="AN8" s="78"/>
      <c r="AO8" s="78"/>
      <c r="AP8" s="78"/>
      <c r="AQ8" s="78"/>
    </row>
    <row r="9" customFormat="false" ht="17" hidden="false" customHeight="true" outlineLevel="0" collapsed="false">
      <c r="A9" s="79" t="s">
        <v>43</v>
      </c>
      <c r="B9" s="79" t="s">
        <v>93</v>
      </c>
      <c r="C9" s="80" t="n">
        <v>1</v>
      </c>
      <c r="D9" s="81" t="n">
        <v>44450</v>
      </c>
      <c r="E9" s="81" t="n">
        <v>44452</v>
      </c>
      <c r="F9" s="82" t="n">
        <v>10</v>
      </c>
      <c r="G9" s="79" t="n">
        <f aca="false">C9*F9</f>
        <v>10</v>
      </c>
      <c r="H9" s="79"/>
      <c r="I9" s="83"/>
      <c r="J9" s="83"/>
      <c r="K9" s="83"/>
      <c r="L9" s="83"/>
      <c r="M9" s="83"/>
      <c r="N9" s="83"/>
      <c r="O9" s="83"/>
      <c r="P9" s="83"/>
      <c r="Q9" s="83"/>
      <c r="R9" s="83"/>
      <c r="S9" s="83"/>
      <c r="T9" s="83"/>
      <c r="U9" s="83"/>
      <c r="V9" s="83"/>
      <c r="W9" s="83"/>
      <c r="X9" s="83"/>
      <c r="Y9" s="83"/>
      <c r="Z9" s="83"/>
      <c r="AA9" s="83"/>
      <c r="AB9" s="83"/>
      <c r="AC9" s="83"/>
      <c r="AD9" s="83"/>
      <c r="AE9" s="83"/>
      <c r="AF9" s="83"/>
      <c r="AG9" s="83"/>
      <c r="AH9" s="83"/>
      <c r="AI9" s="83"/>
      <c r="AJ9" s="83"/>
      <c r="AK9" s="83"/>
      <c r="AL9" s="83"/>
    </row>
    <row r="10" customFormat="false" ht="17" hidden="false" customHeight="true" outlineLevel="0" collapsed="false">
      <c r="A10" s="84" t="s">
        <v>45</v>
      </c>
      <c r="B10" s="84" t="s">
        <v>94</v>
      </c>
      <c r="C10" s="85" t="n">
        <v>1</v>
      </c>
      <c r="D10" s="86" t="n">
        <v>44452</v>
      </c>
      <c r="E10" s="86" t="n">
        <v>44453</v>
      </c>
      <c r="F10" s="87" t="n">
        <v>20</v>
      </c>
      <c r="G10" s="79" t="n">
        <f aca="false">C10*F10</f>
        <v>20</v>
      </c>
      <c r="H10" s="79"/>
      <c r="I10" s="88"/>
      <c r="J10" s="88"/>
      <c r="K10" s="88"/>
      <c r="L10" s="88"/>
      <c r="M10" s="88"/>
      <c r="N10" s="88"/>
      <c r="O10" s="88"/>
      <c r="P10" s="88"/>
      <c r="Q10" s="88"/>
      <c r="R10" s="88"/>
      <c r="S10" s="88"/>
      <c r="T10" s="88"/>
      <c r="U10" s="88"/>
      <c r="V10" s="88"/>
      <c r="W10" s="88"/>
      <c r="X10" s="88"/>
      <c r="Y10" s="88"/>
      <c r="Z10" s="88"/>
      <c r="AA10" s="88"/>
      <c r="AB10" s="88"/>
      <c r="AC10" s="88"/>
      <c r="AD10" s="88"/>
      <c r="AE10" s="88"/>
      <c r="AF10" s="88"/>
      <c r="AG10" s="88"/>
      <c r="AH10" s="88"/>
      <c r="AI10" s="88"/>
      <c r="AJ10" s="88"/>
      <c r="AK10" s="88"/>
      <c r="AL10" s="88"/>
    </row>
    <row r="11" customFormat="false" ht="17" hidden="false" customHeight="true" outlineLevel="0" collapsed="false">
      <c r="A11" s="84" t="s">
        <v>47</v>
      </c>
      <c r="B11" s="84" t="s">
        <v>95</v>
      </c>
      <c r="C11" s="85" t="n">
        <v>0.4</v>
      </c>
      <c r="D11" s="86" t="n">
        <v>44453</v>
      </c>
      <c r="E11" s="86" t="n">
        <v>44455</v>
      </c>
      <c r="F11" s="87" t="n">
        <v>40</v>
      </c>
      <c r="G11" s="79" t="n">
        <f aca="false">C11*F11</f>
        <v>16</v>
      </c>
      <c r="H11" s="79"/>
      <c r="I11" s="88"/>
      <c r="J11" s="88"/>
      <c r="K11" s="88"/>
      <c r="L11" s="88"/>
      <c r="M11" s="88"/>
      <c r="N11" s="88"/>
      <c r="O11" s="88"/>
      <c r="P11" s="88"/>
      <c r="Q11" s="88"/>
      <c r="R11" s="88"/>
      <c r="S11" s="88"/>
      <c r="T11" s="88"/>
      <c r="U11" s="88"/>
      <c r="V11" s="88"/>
      <c r="W11" s="88"/>
      <c r="X11" s="88"/>
      <c r="Y11" s="88"/>
      <c r="Z11" s="88"/>
      <c r="AA11" s="88"/>
      <c r="AB11" s="88"/>
      <c r="AC11" s="88"/>
      <c r="AD11" s="88"/>
      <c r="AE11" s="88"/>
      <c r="AF11" s="88"/>
      <c r="AG11" s="88"/>
      <c r="AH11" s="88"/>
      <c r="AI11" s="88"/>
      <c r="AJ11" s="88"/>
      <c r="AK11" s="88"/>
      <c r="AL11" s="88"/>
    </row>
    <row r="12" customFormat="false" ht="17" hidden="false" customHeight="true" outlineLevel="0" collapsed="false">
      <c r="A12" s="84" t="s">
        <v>51</v>
      </c>
      <c r="B12" s="84" t="s">
        <v>96</v>
      </c>
      <c r="C12" s="85" t="n">
        <v>0.5</v>
      </c>
      <c r="D12" s="86" t="n">
        <v>44454</v>
      </c>
      <c r="E12" s="86" t="n">
        <v>44455</v>
      </c>
      <c r="F12" s="87" t="n">
        <v>20</v>
      </c>
      <c r="G12" s="79" t="n">
        <f aca="false">C12*F12</f>
        <v>10</v>
      </c>
      <c r="H12" s="79"/>
      <c r="I12" s="88"/>
      <c r="J12" s="88"/>
      <c r="K12" s="88"/>
      <c r="L12" s="88"/>
      <c r="M12" s="88"/>
      <c r="N12" s="88"/>
      <c r="O12" s="88"/>
      <c r="P12" s="88"/>
      <c r="Q12" s="88"/>
      <c r="R12" s="88"/>
      <c r="S12" s="88"/>
      <c r="T12" s="88"/>
      <c r="U12" s="88"/>
      <c r="V12" s="88"/>
      <c r="W12" s="88"/>
      <c r="X12" s="88"/>
      <c r="Y12" s="88"/>
      <c r="Z12" s="88"/>
      <c r="AA12" s="88"/>
      <c r="AB12" s="88"/>
      <c r="AC12" s="88"/>
      <c r="AD12" s="88"/>
      <c r="AE12" s="88"/>
      <c r="AF12" s="88"/>
      <c r="AG12" s="88"/>
      <c r="AH12" s="88"/>
      <c r="AI12" s="88"/>
      <c r="AJ12" s="88"/>
      <c r="AK12" s="88"/>
      <c r="AL12" s="88"/>
    </row>
    <row r="13" customFormat="false" ht="17" hidden="false" customHeight="true" outlineLevel="0" collapsed="false">
      <c r="A13" s="84" t="s">
        <v>49</v>
      </c>
      <c r="B13" s="84" t="s">
        <v>97</v>
      </c>
      <c r="C13" s="85" t="n">
        <v>1</v>
      </c>
      <c r="D13" s="86" t="n">
        <v>44455</v>
      </c>
      <c r="E13" s="86" t="n">
        <v>44458</v>
      </c>
      <c r="F13" s="87" t="n">
        <v>10</v>
      </c>
      <c r="G13" s="79" t="n">
        <f aca="false">C13*F13</f>
        <v>10</v>
      </c>
      <c r="H13" s="79"/>
      <c r="I13" s="88"/>
      <c r="J13" s="88"/>
      <c r="K13" s="88"/>
      <c r="L13" s="88"/>
      <c r="M13" s="88"/>
      <c r="N13" s="88"/>
      <c r="O13" s="88"/>
      <c r="P13" s="88"/>
      <c r="Q13" s="88"/>
      <c r="R13" s="88"/>
      <c r="S13" s="88"/>
      <c r="T13" s="88"/>
      <c r="U13" s="88"/>
      <c r="V13" s="88"/>
      <c r="W13" s="88"/>
      <c r="X13" s="88"/>
      <c r="Y13" s="88"/>
      <c r="Z13" s="88"/>
      <c r="AA13" s="88"/>
      <c r="AB13" s="88"/>
      <c r="AC13" s="88"/>
      <c r="AD13" s="88"/>
      <c r="AE13" s="88"/>
      <c r="AF13" s="88"/>
      <c r="AG13" s="88"/>
      <c r="AH13" s="88"/>
      <c r="AI13" s="88"/>
      <c r="AJ13" s="88"/>
      <c r="AK13" s="88"/>
      <c r="AL13" s="88"/>
    </row>
    <row r="14" customFormat="false" ht="17" hidden="false" customHeight="true" outlineLevel="0" collapsed="false">
      <c r="A14" s="84"/>
      <c r="B14" s="84"/>
      <c r="C14" s="85"/>
      <c r="D14" s="86"/>
      <c r="E14" s="86"/>
      <c r="F14" s="87"/>
      <c r="G14" s="79"/>
      <c r="H14" s="79"/>
      <c r="I14" s="88"/>
      <c r="J14" s="88"/>
      <c r="K14" s="88"/>
      <c r="L14" s="88"/>
      <c r="M14" s="88"/>
      <c r="N14" s="88"/>
      <c r="O14" s="88"/>
      <c r="P14" s="88"/>
      <c r="Q14" s="88"/>
      <c r="R14" s="88"/>
      <c r="S14" s="88"/>
      <c r="T14" s="88"/>
      <c r="U14" s="88"/>
      <c r="V14" s="88"/>
      <c r="W14" s="88"/>
      <c r="X14" s="88"/>
      <c r="Y14" s="88"/>
      <c r="Z14" s="88"/>
      <c r="AA14" s="88"/>
      <c r="AB14" s="88"/>
      <c r="AC14" s="88"/>
      <c r="AD14" s="88"/>
      <c r="AE14" s="88"/>
      <c r="AF14" s="88"/>
      <c r="AG14" s="88"/>
      <c r="AH14" s="88"/>
      <c r="AI14" s="88"/>
      <c r="AJ14" s="88"/>
      <c r="AK14" s="88"/>
      <c r="AL14" s="88"/>
    </row>
    <row r="15" s="76" customFormat="true" ht="17" hidden="false" customHeight="true" outlineLevel="0" collapsed="false">
      <c r="A15" s="72" t="s">
        <v>53</v>
      </c>
      <c r="B15" s="72"/>
      <c r="C15" s="73" t="n">
        <f aca="false">(C16+C17+C18+C19)/4</f>
        <v>0.675</v>
      </c>
      <c r="D15" s="86" t="n">
        <v>44459</v>
      </c>
      <c r="E15" s="86" t="n">
        <v>44465</v>
      </c>
      <c r="F15" s="77" t="n">
        <f aca="false">Backlog!D12</f>
        <v>140</v>
      </c>
      <c r="G15" s="79" t="n">
        <f aca="false">C15*F15</f>
        <v>94.5</v>
      </c>
      <c r="H15" s="79"/>
      <c r="I15" s="72"/>
      <c r="J15" s="72"/>
      <c r="K15" s="72"/>
      <c r="L15" s="72"/>
      <c r="M15" s="72"/>
      <c r="N15" s="72"/>
      <c r="O15" s="72"/>
      <c r="P15" s="72"/>
      <c r="Q15" s="72"/>
      <c r="R15" s="72"/>
      <c r="S15" s="72"/>
      <c r="T15" s="72"/>
      <c r="U15" s="72"/>
      <c r="V15" s="72"/>
      <c r="W15" s="72"/>
      <c r="X15" s="72"/>
      <c r="Y15" s="72"/>
      <c r="Z15" s="72"/>
      <c r="AA15" s="72"/>
      <c r="AB15" s="72"/>
      <c r="AC15" s="72"/>
      <c r="AD15" s="72"/>
      <c r="AE15" s="72"/>
      <c r="AF15" s="72"/>
      <c r="AG15" s="72"/>
      <c r="AH15" s="72"/>
      <c r="AI15" s="72"/>
      <c r="AJ15" s="72"/>
      <c r="AK15" s="72"/>
      <c r="AL15" s="72"/>
    </row>
    <row r="16" customFormat="false" ht="17" hidden="false" customHeight="true" outlineLevel="0" collapsed="false">
      <c r="A16" s="84" t="s">
        <v>56</v>
      </c>
      <c r="B16" s="84" t="s">
        <v>98</v>
      </c>
      <c r="C16" s="85" t="n">
        <v>1</v>
      </c>
      <c r="D16" s="86" t="n">
        <v>44459</v>
      </c>
      <c r="E16" s="86" t="n">
        <v>44460</v>
      </c>
      <c r="F16" s="87" t="n">
        <v>20</v>
      </c>
      <c r="G16" s="79" t="n">
        <f aca="false">C16*F16</f>
        <v>20</v>
      </c>
      <c r="H16" s="79"/>
      <c r="I16" s="88"/>
      <c r="J16" s="88"/>
      <c r="K16" s="88"/>
      <c r="L16" s="88"/>
      <c r="M16" s="88"/>
      <c r="N16" s="88"/>
      <c r="O16" s="88"/>
      <c r="P16" s="88"/>
      <c r="Q16" s="88"/>
      <c r="R16" s="88"/>
      <c r="S16" s="88"/>
      <c r="T16" s="88" t="s">
        <v>80</v>
      </c>
      <c r="U16" s="88"/>
      <c r="V16" s="88"/>
      <c r="W16" s="88"/>
      <c r="X16" s="88"/>
      <c r="Y16" s="88"/>
      <c r="Z16" s="88"/>
      <c r="AA16" s="88"/>
      <c r="AB16" s="88"/>
      <c r="AC16" s="88"/>
      <c r="AD16" s="88"/>
      <c r="AE16" s="88"/>
      <c r="AF16" s="88"/>
      <c r="AG16" s="88"/>
      <c r="AH16" s="88"/>
      <c r="AI16" s="88"/>
      <c r="AJ16" s="88"/>
      <c r="AK16" s="88"/>
      <c r="AL16" s="88"/>
    </row>
    <row r="17" customFormat="false" ht="17" hidden="false" customHeight="true" outlineLevel="0" collapsed="false">
      <c r="A17" s="84" t="s">
        <v>58</v>
      </c>
      <c r="B17" s="84" t="s">
        <v>99</v>
      </c>
      <c r="C17" s="85" t="n">
        <v>1</v>
      </c>
      <c r="D17" s="86" t="n">
        <v>44460</v>
      </c>
      <c r="E17" s="86" t="n">
        <v>44461</v>
      </c>
      <c r="F17" s="87" t="n">
        <v>20</v>
      </c>
      <c r="G17" s="79" t="n">
        <f aca="false">C17*F17</f>
        <v>20</v>
      </c>
      <c r="H17" s="79"/>
      <c r="I17" s="88"/>
      <c r="J17" s="88"/>
      <c r="K17" s="88"/>
      <c r="L17" s="88"/>
      <c r="M17" s="88"/>
      <c r="N17" s="88"/>
      <c r="O17" s="88"/>
      <c r="P17" s="88"/>
      <c r="Q17" s="88"/>
      <c r="R17" s="88"/>
      <c r="S17" s="88"/>
      <c r="T17" s="88"/>
      <c r="U17" s="88"/>
      <c r="V17" s="88"/>
      <c r="W17" s="88"/>
      <c r="X17" s="88"/>
      <c r="Y17" s="88"/>
      <c r="Z17" s="88"/>
      <c r="AA17" s="88"/>
      <c r="AB17" s="88"/>
      <c r="AC17" s="88"/>
      <c r="AD17" s="88"/>
      <c r="AE17" s="88"/>
      <c r="AF17" s="88"/>
      <c r="AG17" s="88"/>
      <c r="AH17" s="88"/>
      <c r="AI17" s="88"/>
      <c r="AJ17" s="88"/>
      <c r="AK17" s="88"/>
      <c r="AL17" s="88"/>
    </row>
    <row r="18" customFormat="false" ht="17" hidden="false" customHeight="true" outlineLevel="0" collapsed="false">
      <c r="A18" s="84" t="s">
        <v>60</v>
      </c>
      <c r="B18" s="84" t="s">
        <v>100</v>
      </c>
      <c r="C18" s="85" t="n">
        <v>0.7</v>
      </c>
      <c r="D18" s="86" t="n">
        <v>44461</v>
      </c>
      <c r="E18" s="86" t="n">
        <v>44463</v>
      </c>
      <c r="F18" s="87" t="n">
        <v>40</v>
      </c>
      <c r="G18" s="79" t="n">
        <f aca="false">C18*F18</f>
        <v>28</v>
      </c>
      <c r="H18" s="79"/>
      <c r="I18" s="88"/>
      <c r="J18" s="88"/>
      <c r="K18" s="88"/>
      <c r="L18" s="88"/>
      <c r="M18" s="88"/>
      <c r="N18" s="88"/>
      <c r="O18" s="88"/>
      <c r="P18" s="88"/>
      <c r="Q18" s="88"/>
      <c r="R18" s="88"/>
      <c r="S18" s="88"/>
      <c r="T18" s="88"/>
      <c r="U18" s="88"/>
      <c r="V18" s="88"/>
      <c r="W18" s="88"/>
      <c r="X18" s="88"/>
      <c r="Y18" s="88"/>
      <c r="Z18" s="88"/>
      <c r="AA18" s="88"/>
      <c r="AB18" s="88"/>
      <c r="AC18" s="88"/>
      <c r="AD18" s="88"/>
      <c r="AE18" s="88"/>
      <c r="AF18" s="88"/>
      <c r="AG18" s="88"/>
      <c r="AH18" s="88"/>
      <c r="AI18" s="88"/>
      <c r="AJ18" s="88"/>
      <c r="AK18" s="88"/>
      <c r="AL18" s="88"/>
    </row>
    <row r="19" customFormat="false" ht="17" hidden="false" customHeight="true" outlineLevel="0" collapsed="false">
      <c r="A19" s="84" t="s">
        <v>62</v>
      </c>
      <c r="B19" s="84" t="s">
        <v>101</v>
      </c>
      <c r="C19" s="85" t="n">
        <v>0</v>
      </c>
      <c r="D19" s="86" t="n">
        <v>44463</v>
      </c>
      <c r="E19" s="86" t="n">
        <v>44465</v>
      </c>
      <c r="F19" s="87" t="n">
        <v>60</v>
      </c>
      <c r="G19" s="79" t="n">
        <f aca="false">C19*F19</f>
        <v>0</v>
      </c>
      <c r="H19" s="79"/>
      <c r="I19" s="88"/>
      <c r="J19" s="88"/>
      <c r="K19" s="88"/>
      <c r="L19" s="88"/>
      <c r="M19" s="88"/>
      <c r="N19" s="88"/>
      <c r="O19" s="88"/>
      <c r="P19" s="88"/>
      <c r="Q19" s="88"/>
      <c r="R19" s="88"/>
      <c r="S19" s="88"/>
      <c r="T19" s="88"/>
      <c r="U19" s="88"/>
      <c r="V19" s="88"/>
      <c r="W19" s="88"/>
      <c r="X19" s="88"/>
      <c r="Y19" s="88"/>
      <c r="Z19" s="88"/>
      <c r="AA19" s="88"/>
      <c r="AB19" s="88"/>
      <c r="AC19" s="88"/>
      <c r="AD19" s="88"/>
      <c r="AE19" s="88"/>
      <c r="AF19" s="88"/>
      <c r="AG19" s="88"/>
      <c r="AH19" s="88"/>
      <c r="AI19" s="88"/>
      <c r="AJ19" s="88"/>
      <c r="AK19" s="88"/>
      <c r="AL19" s="88"/>
    </row>
    <row r="20" customFormat="false" ht="17" hidden="false" customHeight="true" outlineLevel="0" collapsed="false">
      <c r="A20" s="84"/>
      <c r="B20" s="84"/>
      <c r="C20" s="85"/>
      <c r="D20" s="86"/>
      <c r="E20" s="86"/>
      <c r="F20" s="87"/>
      <c r="G20" s="79"/>
      <c r="H20" s="79"/>
      <c r="I20" s="88"/>
      <c r="J20" s="88"/>
      <c r="K20" s="88"/>
      <c r="L20" s="88"/>
      <c r="M20" s="88"/>
      <c r="N20" s="88"/>
      <c r="O20" s="88"/>
      <c r="P20" s="88"/>
      <c r="Q20" s="88"/>
      <c r="R20" s="88"/>
      <c r="S20" s="88"/>
      <c r="T20" s="88"/>
      <c r="U20" s="88"/>
      <c r="V20" s="88"/>
      <c r="W20" s="88"/>
      <c r="X20" s="88"/>
      <c r="Y20" s="88"/>
      <c r="Z20" s="88"/>
      <c r="AA20" s="88"/>
      <c r="AB20" s="88"/>
      <c r="AC20" s="88"/>
      <c r="AD20" s="88"/>
      <c r="AE20" s="88"/>
      <c r="AF20" s="88"/>
      <c r="AG20" s="88"/>
      <c r="AH20" s="88"/>
      <c r="AI20" s="88"/>
      <c r="AJ20" s="88"/>
      <c r="AK20" s="88"/>
      <c r="AL20" s="88"/>
    </row>
    <row r="21" s="76" customFormat="true" ht="17" hidden="false" customHeight="true" outlineLevel="0" collapsed="false">
      <c r="A21" s="72" t="s">
        <v>102</v>
      </c>
      <c r="B21" s="72"/>
      <c r="C21" s="73" t="n">
        <f aca="false">(C22+C23+C24+C25+C26)/5</f>
        <v>0</v>
      </c>
      <c r="D21" s="74"/>
      <c r="E21" s="74"/>
      <c r="F21" s="75"/>
      <c r="G21" s="79" t="n">
        <f aca="false">C21*F21</f>
        <v>0</v>
      </c>
      <c r="H21" s="79"/>
      <c r="I21" s="72"/>
      <c r="J21" s="72"/>
      <c r="K21" s="72"/>
      <c r="L21" s="72"/>
      <c r="M21" s="72"/>
      <c r="N21" s="72"/>
      <c r="O21" s="72"/>
      <c r="P21" s="72"/>
      <c r="Q21" s="72"/>
      <c r="R21" s="72"/>
      <c r="S21" s="72"/>
      <c r="T21" s="72"/>
      <c r="U21" s="72"/>
      <c r="V21" s="72"/>
      <c r="W21" s="72"/>
      <c r="X21" s="72"/>
      <c r="Y21" s="72"/>
      <c r="Z21" s="72"/>
      <c r="AA21" s="72"/>
      <c r="AB21" s="72"/>
      <c r="AC21" s="72"/>
      <c r="AD21" s="72"/>
      <c r="AE21" s="72"/>
      <c r="AF21" s="72"/>
      <c r="AG21" s="72"/>
      <c r="AH21" s="72"/>
      <c r="AI21" s="72"/>
      <c r="AJ21" s="72"/>
      <c r="AK21" s="72"/>
      <c r="AL21" s="72"/>
    </row>
    <row r="22" customFormat="false" ht="17" hidden="false" customHeight="true" outlineLevel="0" collapsed="false">
      <c r="A22" s="84" t="s">
        <v>103</v>
      </c>
      <c r="B22" s="84" t="s">
        <v>104</v>
      </c>
      <c r="C22" s="85" t="n">
        <v>0</v>
      </c>
      <c r="D22" s="86"/>
      <c r="E22" s="86"/>
      <c r="F22" s="87"/>
      <c r="G22" s="79" t="n">
        <f aca="false">C22*F22</f>
        <v>0</v>
      </c>
      <c r="H22" s="79"/>
      <c r="I22" s="88"/>
      <c r="J22" s="88"/>
      <c r="K22" s="88"/>
      <c r="L22" s="88"/>
      <c r="M22" s="88"/>
      <c r="N22" s="88"/>
      <c r="O22" s="88"/>
      <c r="P22" s="88"/>
      <c r="Q22" s="88"/>
      <c r="R22" s="88"/>
      <c r="S22" s="88"/>
      <c r="T22" s="88"/>
      <c r="U22" s="88"/>
      <c r="V22" s="88"/>
      <c r="W22" s="88"/>
      <c r="X22" s="88"/>
      <c r="Y22" s="88"/>
      <c r="Z22" s="88"/>
      <c r="AA22" s="88"/>
      <c r="AB22" s="88"/>
      <c r="AC22" s="88"/>
      <c r="AD22" s="88"/>
      <c r="AE22" s="88"/>
      <c r="AF22" s="88"/>
      <c r="AG22" s="88"/>
      <c r="AH22" s="88"/>
      <c r="AI22" s="88"/>
      <c r="AJ22" s="88"/>
      <c r="AK22" s="88"/>
      <c r="AL22" s="88"/>
    </row>
    <row r="23" customFormat="false" ht="17" hidden="false" customHeight="true" outlineLevel="0" collapsed="false">
      <c r="A23" s="84" t="s">
        <v>105</v>
      </c>
      <c r="B23" s="84" t="s">
        <v>104</v>
      </c>
      <c r="C23" s="85" t="n">
        <v>0</v>
      </c>
      <c r="D23" s="86"/>
      <c r="E23" s="86"/>
      <c r="F23" s="87"/>
      <c r="G23" s="79" t="n">
        <f aca="false">C23*F23</f>
        <v>0</v>
      </c>
      <c r="H23" s="79"/>
      <c r="I23" s="88"/>
      <c r="J23" s="88"/>
      <c r="K23" s="88"/>
      <c r="L23" s="88"/>
      <c r="M23" s="88"/>
      <c r="N23" s="88"/>
      <c r="O23" s="88"/>
      <c r="P23" s="88"/>
      <c r="Q23" s="88"/>
      <c r="R23" s="88"/>
      <c r="S23" s="88"/>
      <c r="T23" s="88"/>
      <c r="U23" s="88"/>
      <c r="V23" s="88"/>
      <c r="W23" s="88"/>
      <c r="X23" s="88"/>
      <c r="Y23" s="88"/>
      <c r="Z23" s="88"/>
      <c r="AA23" s="88"/>
      <c r="AB23" s="88"/>
      <c r="AC23" s="88"/>
      <c r="AD23" s="88"/>
      <c r="AE23" s="88"/>
      <c r="AF23" s="88"/>
      <c r="AG23" s="88"/>
      <c r="AH23" s="88"/>
      <c r="AI23" s="88"/>
      <c r="AJ23" s="88"/>
      <c r="AK23" s="88"/>
      <c r="AL23" s="88"/>
    </row>
    <row r="24" customFormat="false" ht="17" hidden="false" customHeight="true" outlineLevel="0" collapsed="false">
      <c r="A24" s="84" t="s">
        <v>106</v>
      </c>
      <c r="B24" s="84" t="s">
        <v>104</v>
      </c>
      <c r="C24" s="85" t="n">
        <v>0</v>
      </c>
      <c r="D24" s="86"/>
      <c r="E24" s="86"/>
      <c r="F24" s="87"/>
      <c r="G24" s="79" t="n">
        <f aca="false">C24*F24</f>
        <v>0</v>
      </c>
      <c r="H24" s="79"/>
      <c r="I24" s="88"/>
      <c r="J24" s="88"/>
      <c r="K24" s="88"/>
      <c r="L24" s="88"/>
      <c r="M24" s="88"/>
      <c r="N24" s="88"/>
      <c r="O24" s="88"/>
      <c r="P24" s="88"/>
      <c r="Q24" s="88"/>
      <c r="R24" s="88"/>
      <c r="S24" s="88"/>
      <c r="T24" s="88"/>
      <c r="U24" s="88"/>
      <c r="V24" s="88"/>
      <c r="W24" s="88"/>
      <c r="X24" s="88"/>
      <c r="Y24" s="88"/>
      <c r="Z24" s="88"/>
      <c r="AA24" s="88"/>
      <c r="AB24" s="88"/>
      <c r="AC24" s="88"/>
      <c r="AD24" s="88"/>
      <c r="AE24" s="88"/>
      <c r="AF24" s="88"/>
      <c r="AG24" s="88"/>
      <c r="AH24" s="88"/>
      <c r="AI24" s="88"/>
      <c r="AJ24" s="88"/>
      <c r="AK24" s="88"/>
      <c r="AL24" s="88"/>
    </row>
    <row r="25" customFormat="false" ht="17" hidden="false" customHeight="true" outlineLevel="0" collapsed="false">
      <c r="A25" s="84" t="s">
        <v>107</v>
      </c>
      <c r="B25" s="84" t="s">
        <v>104</v>
      </c>
      <c r="C25" s="85" t="n">
        <v>0</v>
      </c>
      <c r="D25" s="86"/>
      <c r="E25" s="86"/>
      <c r="F25" s="87"/>
      <c r="G25" s="79" t="n">
        <f aca="false">C25*F25</f>
        <v>0</v>
      </c>
      <c r="H25" s="79"/>
      <c r="I25" s="88"/>
      <c r="J25" s="88"/>
      <c r="K25" s="88"/>
      <c r="L25" s="88"/>
      <c r="M25" s="88"/>
      <c r="N25" s="88"/>
      <c r="O25" s="88"/>
      <c r="P25" s="88"/>
      <c r="Q25" s="88"/>
      <c r="R25" s="88"/>
      <c r="S25" s="88"/>
      <c r="T25" s="88"/>
      <c r="U25" s="88"/>
      <c r="V25" s="88"/>
      <c r="W25" s="88"/>
      <c r="X25" s="88"/>
      <c r="Y25" s="88"/>
      <c r="Z25" s="88"/>
      <c r="AA25" s="88"/>
      <c r="AB25" s="88"/>
      <c r="AC25" s="88"/>
      <c r="AD25" s="88"/>
      <c r="AE25" s="88"/>
      <c r="AF25" s="88"/>
      <c r="AG25" s="88"/>
      <c r="AH25" s="88"/>
      <c r="AI25" s="88"/>
      <c r="AJ25" s="88"/>
      <c r="AK25" s="88"/>
      <c r="AL25" s="88"/>
    </row>
    <row r="26" customFormat="false" ht="17" hidden="false" customHeight="true" outlineLevel="0" collapsed="false">
      <c r="A26" s="84" t="s">
        <v>108</v>
      </c>
      <c r="B26" s="84" t="s">
        <v>104</v>
      </c>
      <c r="C26" s="85" t="n">
        <v>0</v>
      </c>
      <c r="D26" s="86"/>
      <c r="E26" s="86"/>
      <c r="F26" s="87"/>
      <c r="G26" s="79" t="n">
        <f aca="false">C26*F26</f>
        <v>0</v>
      </c>
      <c r="H26" s="79"/>
      <c r="I26" s="88"/>
      <c r="J26" s="88"/>
      <c r="K26" s="88"/>
      <c r="L26" s="88"/>
      <c r="M26" s="88"/>
      <c r="N26" s="88"/>
      <c r="O26" s="88"/>
      <c r="P26" s="88"/>
      <c r="Q26" s="88"/>
      <c r="R26" s="88"/>
      <c r="S26" s="88"/>
      <c r="T26" s="88"/>
      <c r="U26" s="88"/>
      <c r="V26" s="88"/>
      <c r="W26" s="88"/>
      <c r="X26" s="88"/>
      <c r="Y26" s="88"/>
      <c r="Z26" s="88"/>
      <c r="AA26" s="88"/>
      <c r="AB26" s="88"/>
      <c r="AC26" s="88"/>
      <c r="AD26" s="88"/>
      <c r="AE26" s="88"/>
      <c r="AF26" s="88"/>
      <c r="AG26" s="88"/>
      <c r="AH26" s="88"/>
      <c r="AI26" s="88"/>
      <c r="AJ26" s="88"/>
      <c r="AK26" s="88"/>
      <c r="AL26" s="88"/>
    </row>
    <row r="27" customFormat="false" ht="17" hidden="false" customHeight="true" outlineLevel="0" collapsed="false">
      <c r="A27" s="84"/>
      <c r="B27" s="84"/>
      <c r="C27" s="85"/>
      <c r="D27" s="86"/>
      <c r="E27" s="86"/>
      <c r="F27" s="87"/>
      <c r="G27" s="79"/>
      <c r="H27" s="79"/>
      <c r="I27" s="88"/>
      <c r="J27" s="88"/>
      <c r="K27" s="88"/>
      <c r="L27" s="88"/>
      <c r="M27" s="88"/>
      <c r="N27" s="88"/>
      <c r="O27" s="88"/>
      <c r="P27" s="88"/>
      <c r="Q27" s="88"/>
      <c r="R27" s="88"/>
      <c r="S27" s="88"/>
      <c r="T27" s="88"/>
      <c r="U27" s="88"/>
      <c r="V27" s="88"/>
      <c r="W27" s="88"/>
      <c r="X27" s="88"/>
      <c r="Y27" s="88"/>
      <c r="Z27" s="88"/>
      <c r="AA27" s="88"/>
      <c r="AB27" s="88"/>
      <c r="AC27" s="88"/>
      <c r="AD27" s="88"/>
      <c r="AE27" s="88"/>
      <c r="AF27" s="88"/>
      <c r="AG27" s="88"/>
      <c r="AH27" s="88"/>
      <c r="AI27" s="88"/>
      <c r="AJ27" s="88"/>
      <c r="AK27" s="88"/>
      <c r="AL27" s="88"/>
    </row>
    <row r="28" s="76" customFormat="true" ht="17" hidden="false" customHeight="true" outlineLevel="0" collapsed="false">
      <c r="A28" s="72" t="s">
        <v>109</v>
      </c>
      <c r="B28" s="84" t="s">
        <v>104</v>
      </c>
      <c r="C28" s="73" t="n">
        <f aca="false">(C29+C30+C31+C32+C33)/5</f>
        <v>0</v>
      </c>
      <c r="D28" s="74"/>
      <c r="E28" s="74"/>
      <c r="F28" s="75"/>
      <c r="G28" s="79" t="n">
        <f aca="false">C28*F28</f>
        <v>0</v>
      </c>
      <c r="H28" s="79"/>
      <c r="I28" s="72"/>
      <c r="J28" s="72"/>
      <c r="K28" s="72"/>
      <c r="L28" s="72"/>
      <c r="M28" s="72"/>
      <c r="N28" s="72"/>
      <c r="O28" s="72"/>
      <c r="P28" s="72"/>
      <c r="Q28" s="72"/>
      <c r="R28" s="72"/>
      <c r="S28" s="72"/>
      <c r="T28" s="72"/>
      <c r="U28" s="72"/>
      <c r="V28" s="72"/>
      <c r="W28" s="72"/>
      <c r="X28" s="72"/>
      <c r="Y28" s="72"/>
      <c r="Z28" s="72"/>
      <c r="AA28" s="72"/>
      <c r="AB28" s="72"/>
      <c r="AC28" s="72"/>
      <c r="AD28" s="72"/>
      <c r="AE28" s="72"/>
      <c r="AF28" s="72"/>
      <c r="AG28" s="72"/>
      <c r="AH28" s="72"/>
      <c r="AI28" s="72"/>
      <c r="AJ28" s="72"/>
      <c r="AK28" s="72"/>
      <c r="AL28" s="72"/>
    </row>
    <row r="29" customFormat="false" ht="17" hidden="false" customHeight="true" outlineLevel="0" collapsed="false">
      <c r="A29" s="84" t="s">
        <v>110</v>
      </c>
      <c r="C29" s="85" t="n">
        <v>0</v>
      </c>
      <c r="G29" s="79" t="n">
        <f aca="false">C29*F29</f>
        <v>0</v>
      </c>
      <c r="H29" s="79"/>
      <c r="V29" s="72"/>
    </row>
    <row r="30" customFormat="false" ht="17" hidden="false" customHeight="true" outlineLevel="0" collapsed="false">
      <c r="A30" s="84" t="s">
        <v>111</v>
      </c>
      <c r="C30" s="85" t="n">
        <v>0</v>
      </c>
      <c r="G30" s="79" t="n">
        <f aca="false">C30*F30</f>
        <v>0</v>
      </c>
      <c r="H30" s="79"/>
      <c r="V30" s="72"/>
    </row>
    <row r="31" customFormat="false" ht="17" hidden="false" customHeight="true" outlineLevel="0" collapsed="false">
      <c r="A31" s="84" t="s">
        <v>112</v>
      </c>
      <c r="C31" s="85" t="n">
        <v>0</v>
      </c>
      <c r="G31" s="79" t="n">
        <f aca="false">C31*F31</f>
        <v>0</v>
      </c>
      <c r="H31" s="79"/>
      <c r="V31" s="72"/>
    </row>
    <row r="32" customFormat="false" ht="17" hidden="false" customHeight="true" outlineLevel="0" collapsed="false">
      <c r="A32" s="84" t="s">
        <v>113</v>
      </c>
      <c r="C32" s="85" t="n">
        <v>0</v>
      </c>
      <c r="G32" s="79" t="n">
        <f aca="false">C32*F32</f>
        <v>0</v>
      </c>
      <c r="H32" s="79"/>
      <c r="V32" s="72"/>
    </row>
    <row r="33" customFormat="false" ht="17" hidden="false" customHeight="true" outlineLevel="0" collapsed="false">
      <c r="A33" s="84" t="s">
        <v>114</v>
      </c>
      <c r="C33" s="85" t="n">
        <v>0</v>
      </c>
      <c r="G33" s="79" t="n">
        <f aca="false">C33*F33</f>
        <v>0</v>
      </c>
      <c r="H33" s="79"/>
    </row>
  </sheetData>
  <mergeCells count="6">
    <mergeCell ref="I4:O4"/>
    <mergeCell ref="P4:V4"/>
    <mergeCell ref="W4:AC4"/>
    <mergeCell ref="AD4:AJ4"/>
    <mergeCell ref="AK4:AQ4"/>
    <mergeCell ref="D5:E5"/>
  </mergeCells>
  <conditionalFormatting sqref="C22:C26 C10:C14 C16:C20">
    <cfRule type="dataBar" priority="2">
      <dataBar showValue="1" minLength="0" maxLength="100">
        <cfvo type="num" val="0"/>
        <cfvo type="num" val="1"/>
        <color rgb="FF729FCF"/>
      </dataBar>
      <extLst>
        <ext xmlns:x14="http://schemas.microsoft.com/office/spreadsheetml/2009/9/main" uri="{B025F937-C7B1-47D3-B67F-A62EFF666E3E}">
          <x14:id>{9D4E3673-88AF-4BDD-BCC1-5E3D3DCBBA62}</x14:id>
        </ext>
      </extLst>
    </cfRule>
  </conditionalFormatting>
  <conditionalFormatting sqref="I7:AR7 I8:AL28 V29:V32">
    <cfRule type="expression" priority="3" aboveAverage="0" equalAverage="0" bottom="0" percent="0" rank="0" text="" dxfId="0">
      <formula>AND(I$5&gt;=$D7,I$5&lt;=((($E7-$D7+1)*$C7)+$D7-1))</formula>
    </cfRule>
    <cfRule type="expression" priority="4" aboveAverage="0" equalAverage="0" bottom="0" percent="0" rank="0" text="" dxfId="1">
      <formula>AND(I$5&gt;=$D7,I$5&lt;=$E7)</formula>
    </cfRule>
    <cfRule type="expression" priority="5" aboveAverage="0" equalAverage="0" bottom="0" percent="0" rank="0" text="" dxfId="2">
      <formula>I$5=TODAY()</formula>
    </cfRule>
  </conditionalFormatting>
  <conditionalFormatting sqref="C9">
    <cfRule type="dataBar" priority="6">
      <dataBar showValue="1" minLength="0" maxLength="100">
        <cfvo type="num" val="0"/>
        <cfvo type="num" val="1"/>
        <color rgb="FF729FCF"/>
      </dataBar>
      <extLst>
        <ext xmlns:x14="http://schemas.microsoft.com/office/spreadsheetml/2009/9/main" uri="{B025F937-C7B1-47D3-B67F-A62EFF666E3E}">
          <x14:id>{97B0643E-F616-415F-A920-D663E3A6CAFE}</x14:id>
        </ext>
      </extLst>
    </cfRule>
  </conditionalFormatting>
  <conditionalFormatting sqref="C7">
    <cfRule type="dataBar" priority="7">
      <dataBar showValue="1" minLength="0" maxLength="100">
        <cfvo type="num" val="0"/>
        <cfvo type="num" val="1"/>
        <color rgb="FF729FCF"/>
      </dataBar>
      <extLst>
        <ext xmlns:x14="http://schemas.microsoft.com/office/spreadsheetml/2009/9/main" uri="{B025F937-C7B1-47D3-B67F-A62EFF666E3E}">
          <x14:id>{914918F9-5E3B-46CF-86B0-A41C5D406FA3}</x14:id>
        </ext>
      </extLst>
    </cfRule>
  </conditionalFormatting>
  <conditionalFormatting sqref="C15">
    <cfRule type="dataBar" priority="8">
      <dataBar showValue="1" minLength="0" maxLength="100">
        <cfvo type="num" val="0"/>
        <cfvo type="num" val="1"/>
        <color rgb="FF729FCF"/>
      </dataBar>
      <extLst>
        <ext xmlns:x14="http://schemas.microsoft.com/office/spreadsheetml/2009/9/main" uri="{B025F937-C7B1-47D3-B67F-A62EFF666E3E}">
          <x14:id>{73806941-F011-48C7-AE23-4A42FFD69487}</x14:id>
        </ext>
      </extLst>
    </cfRule>
  </conditionalFormatting>
  <conditionalFormatting sqref="C21">
    <cfRule type="dataBar" priority="9">
      <dataBar showValue="1" minLength="0" maxLength="100">
        <cfvo type="num" val="0"/>
        <cfvo type="num" val="1"/>
        <color rgb="FF729FCF"/>
      </dataBar>
      <extLst>
        <ext xmlns:x14="http://schemas.microsoft.com/office/spreadsheetml/2009/9/main" uri="{B025F937-C7B1-47D3-B67F-A62EFF666E3E}">
          <x14:id>{A4FEB3DE-E96B-4A2A-92FD-006BBE26818C}</x14:id>
        </ext>
      </extLst>
    </cfRule>
  </conditionalFormatting>
  <conditionalFormatting sqref="C8">
    <cfRule type="dataBar" priority="10">
      <dataBar showValue="1" minLength="0" maxLength="100">
        <cfvo type="num" val="0"/>
        <cfvo type="num" val="1"/>
        <color rgb="FF729FCF"/>
      </dataBar>
      <extLst>
        <ext xmlns:x14="http://schemas.microsoft.com/office/spreadsheetml/2009/9/main" uri="{B025F937-C7B1-47D3-B67F-A62EFF666E3E}">
          <x14:id>{381F9212-A110-42E1-952B-CC12888079F0}</x14:id>
        </ext>
      </extLst>
    </cfRule>
  </conditionalFormatting>
  <conditionalFormatting sqref="C28">
    <cfRule type="dataBar" priority="11">
      <dataBar showValue="1" minLength="0" maxLength="100">
        <cfvo type="num" val="0"/>
        <cfvo type="num" val="1"/>
        <color rgb="FF729FCF"/>
      </dataBar>
      <extLst>
        <ext xmlns:x14="http://schemas.microsoft.com/office/spreadsheetml/2009/9/main" uri="{B025F937-C7B1-47D3-B67F-A62EFF666E3E}">
          <x14:id>{B0F76FA4-EC85-475C-845D-2CDCC436EDDC}</x14:id>
        </ext>
      </extLst>
    </cfRule>
  </conditionalFormatting>
  <conditionalFormatting sqref="C27">
    <cfRule type="dataBar" priority="12">
      <dataBar showValue="1" minLength="0" maxLength="100">
        <cfvo type="num" val="0"/>
        <cfvo type="num" val="1"/>
        <color rgb="FF729FCF"/>
      </dataBar>
      <extLst>
        <ext xmlns:x14="http://schemas.microsoft.com/office/spreadsheetml/2009/9/main" uri="{B025F937-C7B1-47D3-B67F-A62EFF666E3E}">
          <x14:id>{DE5E38E4-C377-49C9-B460-5DBC8CA7559B}</x14:id>
        </ext>
      </extLst>
    </cfRule>
  </conditionalFormatting>
  <conditionalFormatting sqref="C29:C33">
    <cfRule type="dataBar" priority="13">
      <dataBar showValue="1" minLength="0" maxLength="100">
        <cfvo type="num" val="0"/>
        <cfvo type="num" val="1"/>
        <color rgb="FF729FCF"/>
      </dataBar>
      <extLst>
        <ext xmlns:x14="http://schemas.microsoft.com/office/spreadsheetml/2009/9/main" uri="{B025F937-C7B1-47D3-B67F-A62EFF666E3E}">
          <x14:id>{34755DBF-39F5-48A6-B283-8AC73F3FA9AD}</x14:id>
        </ext>
      </extLst>
    </cfRule>
  </conditionalFormatting>
  <printOptions headings="false" gridLines="false" gridLinesSet="true" horizontalCentered="false" verticalCentered="false"/>
  <pageMargins left="0.7875" right="0.7875" top="1.025" bottom="1.025" header="0.7875" footer="0.7875"/>
  <pageSetup paperSize="9" scale="100" firstPageNumber="1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&amp;C&amp;A</oddHeader>
    <oddFooter>&amp;CPágina &amp;P</oddFooter>
  </headerFooter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4E3673-88AF-4BDD-BCC1-5E3D3DCBBA62}">
            <x14:dataBar minLength="0" maxLength="100" axisPosition="automatic" gradient="false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C22:C26 C10:C14 C16:C20</xm:sqref>
        </x14:conditionalFormatting>
        <x14:conditionalFormatting xmlns:xm="http://schemas.microsoft.com/office/excel/2006/main">
          <x14:cfRule type="dataBar" id="{97B0643E-F616-415F-A920-D663E3A6CAFE}">
            <x14:dataBar minLength="0" maxLength="100" axisPosition="automatic" gradient="false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C9</xm:sqref>
        </x14:conditionalFormatting>
        <x14:conditionalFormatting xmlns:xm="http://schemas.microsoft.com/office/excel/2006/main">
          <x14:cfRule type="dataBar" id="{914918F9-5E3B-46CF-86B0-A41C5D406FA3}">
            <x14:dataBar minLength="0" maxLength="100" axisPosition="automatic" gradient="false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C7</xm:sqref>
        </x14:conditionalFormatting>
        <x14:conditionalFormatting xmlns:xm="http://schemas.microsoft.com/office/excel/2006/main">
          <x14:cfRule type="dataBar" id="{73806941-F011-48C7-AE23-4A42FFD69487}">
            <x14:dataBar minLength="0" maxLength="100" axisPosition="automatic" gradient="false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C15</xm:sqref>
        </x14:conditionalFormatting>
        <x14:conditionalFormatting xmlns:xm="http://schemas.microsoft.com/office/excel/2006/main">
          <x14:cfRule type="dataBar" id="{A4FEB3DE-E96B-4A2A-92FD-006BBE26818C}">
            <x14:dataBar minLength="0" maxLength="100" axisPosition="automatic" gradient="false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C21</xm:sqref>
        </x14:conditionalFormatting>
        <x14:conditionalFormatting xmlns:xm="http://schemas.microsoft.com/office/excel/2006/main">
          <x14:cfRule type="dataBar" id="{381F9212-A110-42E1-952B-CC12888079F0}">
            <x14:dataBar minLength="0" maxLength="100" axisPosition="automatic" gradient="false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C8</xm:sqref>
        </x14:conditionalFormatting>
        <x14:conditionalFormatting xmlns:xm="http://schemas.microsoft.com/office/excel/2006/main">
          <x14:cfRule type="dataBar" id="{B0F76FA4-EC85-475C-845D-2CDCC436EDDC}">
            <x14:dataBar minLength="0" maxLength="100" axisPosition="automatic" gradient="false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C28</xm:sqref>
        </x14:conditionalFormatting>
        <x14:conditionalFormatting xmlns:xm="http://schemas.microsoft.com/office/excel/2006/main">
          <x14:cfRule type="dataBar" id="{DE5E38E4-C377-49C9-B460-5DBC8CA7559B}">
            <x14:dataBar minLength="0" maxLength="100" axisPosition="automatic" gradient="false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C27</xm:sqref>
        </x14:conditionalFormatting>
        <x14:conditionalFormatting xmlns:xm="http://schemas.microsoft.com/office/excel/2006/main">
          <x14:cfRule type="dataBar" id="{34755DBF-39F5-48A6-B283-8AC73F3FA9AD}">
            <x14:dataBar minLength="0" maxLength="100" axisPosition="automatic" gradient="false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C29:C33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1068</TotalTime>
  <Application>LibreOffice/7.0.4.2$Linux_X86_64 LibreOffice_project/00$Build-2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2021-09-14T21:10:10Z</dcterms:created>
  <dc:creator/>
  <dc:description/>
  <dc:language>es-CO</dc:language>
  <cp:lastModifiedBy/>
  <dcterms:modified xsi:type="dcterms:W3CDTF">2021-09-24T21:10:27Z</dcterms:modified>
  <cp:revision>73</cp:revision>
  <dc:subject/>
  <dc:title/>
</cp:coreProperties>
</file>